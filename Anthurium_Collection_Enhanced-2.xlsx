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_Database" sheetId="1" state="visible" r:id="rId1"/>
    <sheet xmlns:r="http://schemas.openxmlformats.org/officeDocument/2006/relationships" name="Breeding_Records" sheetId="2" state="visible" r:id="rId2"/>
    <sheet xmlns:r="http://schemas.openxmlformats.org/officeDocument/2006/relationships" name="Species_Reference" sheetId="3" state="visible" r:id="rId3"/>
    <sheet xmlns:r="http://schemas.openxmlformats.org/officeDocument/2006/relationships" name="Trait_Genetics" sheetId="4" state="visible" r:id="rId4"/>
    <sheet xmlns:r="http://schemas.openxmlformats.org/officeDocument/2006/relationships" name="Vendor_Sources" sheetId="5" state="visible" r:id="rId5"/>
    <sheet xmlns:r="http://schemas.openxmlformats.org/officeDocument/2006/relationships" name="Care_Log" sheetId="6" state="visible" r:id="rId6"/>
    <sheet xmlns:r="http://schemas.openxmlformats.org/officeDocument/2006/relationships" name="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17" customWidth="1" min="4" max="4"/>
    <col width="28" customWidth="1" min="5" max="5"/>
    <col width="50" customWidth="1" min="6" max="6"/>
    <col width="39" customWidth="1" min="7" max="7"/>
    <col width="18" customWidth="1" min="8" max="8"/>
    <col width="28" customWidth="1" min="9" max="9"/>
    <col width="16" customWidth="1" min="10" max="10"/>
    <col width="12" customWidth="1" min="11" max="11"/>
    <col width="9" customWidth="1" min="12" max="12"/>
    <col width="14" customWidth="1" min="13" max="13"/>
    <col width="23" customWidth="1" min="14" max="14"/>
    <col width="18" customWidth="1" min="15" max="15"/>
    <col width="18" customWidth="1" min="16" max="16"/>
    <col width="18" customWidth="1" min="17" max="17"/>
    <col width="21" customWidth="1" min="18" max="18"/>
    <col width="18" customWidth="1" min="19" max="19"/>
    <col width="18" customWidth="1" min="20" max="20"/>
    <col width="16" customWidth="1" min="21" max="21"/>
    <col width="15" customWidth="1" min="22" max="22"/>
    <col width="17" customWidth="1" min="23" max="23"/>
    <col width="14" customWidth="1" min="24" max="24"/>
    <col width="13" customWidth="1" min="25" max="25"/>
    <col width="13" customWidth="1" min="26" max="26"/>
    <col width="14" customWidth="1" min="27" max="27"/>
  </cols>
  <sheetData>
    <row r="1">
      <c r="A1" s="1" t="inlineStr">
        <is>
          <t>Plant_ID</t>
        </is>
      </c>
      <c r="B1" s="1" t="inlineStr">
        <is>
          <t>Accession_Date</t>
        </is>
      </c>
      <c r="C1" s="1" t="inlineStr">
        <is>
          <t>Genus</t>
        </is>
      </c>
      <c r="D1" s="1" t="inlineStr">
        <is>
          <t>Species_Complex</t>
        </is>
      </c>
      <c r="E1" s="1" t="inlineStr">
        <is>
          <t>Hybrid_Name</t>
        </is>
      </c>
      <c r="F1" s="1" t="inlineStr">
        <is>
          <t>Cross_Notation</t>
        </is>
      </c>
      <c r="G1" s="1" t="inlineStr">
        <is>
          <t>Female_Parent</t>
        </is>
      </c>
      <c r="H1" s="1" t="inlineStr">
        <is>
          <t>Female_Parent_ID</t>
        </is>
      </c>
      <c r="I1" s="1" t="inlineStr">
        <is>
          <t>Male_Parent</t>
        </is>
      </c>
      <c r="J1" s="1" t="inlineStr">
        <is>
          <t>Male_Parent_ID</t>
        </is>
      </c>
      <c r="K1" s="1" t="inlineStr">
        <is>
          <t>Generation</t>
        </is>
      </c>
      <c r="L1" s="1" t="inlineStr">
        <is>
          <t>Breeder</t>
        </is>
      </c>
      <c r="M1" s="1" t="inlineStr">
        <is>
          <t>Breeder_Code</t>
        </is>
      </c>
      <c r="N1" s="1" t="inlineStr">
        <is>
          <t>Source_Vendor</t>
        </is>
      </c>
      <c r="O1" s="1" t="inlineStr">
        <is>
          <t>Acquisition_Cost</t>
        </is>
      </c>
      <c r="P1" s="1" t="inlineStr">
        <is>
          <t>Propagation_Type</t>
        </is>
      </c>
      <c r="Q1" s="1" t="inlineStr">
        <is>
          <t>Current_Location</t>
        </is>
      </c>
      <c r="R1" s="1" t="inlineStr">
        <is>
          <t>Conservation_Status</t>
        </is>
      </c>
      <c r="S1" s="1" t="inlineStr">
        <is>
          <t>Provenance_Notes</t>
        </is>
      </c>
      <c r="T1" s="1" t="inlineStr">
        <is>
          <t>Morphology_Notes</t>
        </is>
      </c>
      <c r="U1" s="1" t="inlineStr">
        <is>
          <t>Notable_Traits</t>
        </is>
      </c>
      <c r="V1" s="1" t="inlineStr">
        <is>
          <t>Health_Status</t>
        </is>
      </c>
      <c r="W1" s="1" t="inlineStr">
        <is>
          <t>Last_Inspection</t>
        </is>
      </c>
      <c r="X1" s="1" t="inlineStr">
        <is>
          <t>Ploidy_Level</t>
        </is>
      </c>
      <c r="Y1" s="1" t="inlineStr">
        <is>
          <t>DNA_Barcode</t>
        </is>
      </c>
      <c r="Z1" s="1" t="inlineStr">
        <is>
          <t>Images_Link</t>
        </is>
      </c>
      <c r="AA1" s="1" t="inlineStr">
        <is>
          <t>Notes</t>
        </is>
      </c>
    </row>
    <row r="2">
      <c r="A2" s="2" t="inlineStr">
        <is>
          <t>ANT-2025-0001</t>
        </is>
      </c>
      <c r="B2" s="2" t="inlineStr">
        <is>
          <t>2025-10-15</t>
        </is>
      </c>
      <c r="C2" s="2" t="inlineStr">
        <is>
          <t>Anthurium</t>
        </is>
      </c>
      <c r="E2" s="2" t="inlineStr">
        <is>
          <t>AOS</t>
        </is>
      </c>
      <c r="F2" s="2" t="inlineStr">
        <is>
          <t>Ace of Spades × Ace of Spades</t>
        </is>
      </c>
      <c r="G2" s="2" t="inlineStr">
        <is>
          <t>Ace of Spades</t>
        </is>
      </c>
      <c r="I2" s="2" t="inlineStr">
        <is>
          <t>Ace of Spades</t>
        </is>
      </c>
      <c r="K2" s="2" t="inlineStr">
        <is>
          <t>F1</t>
        </is>
      </c>
      <c r="N2" s="2" t="inlineStr">
        <is>
          <t>Tezula</t>
        </is>
      </c>
      <c r="O2" t="n">
        <v>0</v>
      </c>
      <c r="P2" s="2" t="inlineStr">
        <is>
          <t>seed</t>
        </is>
      </c>
      <c r="V2" s="2" t="inlineStr">
        <is>
          <t>Healthy</t>
        </is>
      </c>
      <c r="AA2" s="2" t="inlineStr">
        <is>
          <t>Daryl Direct</t>
        </is>
      </c>
    </row>
    <row r="3">
      <c r="A3" s="2" t="inlineStr">
        <is>
          <t>ANT-2025-0002</t>
        </is>
      </c>
      <c r="B3" s="2" t="inlineStr">
        <is>
          <t>2025-10-15</t>
        </is>
      </c>
      <c r="C3" s="2" t="inlineStr">
        <is>
          <t>Anthurium</t>
        </is>
      </c>
      <c r="E3" s="2" t="inlineStr">
        <is>
          <t>Batch 22</t>
        </is>
      </c>
      <c r="F3" s="2" t="inlineStr">
        <is>
          <t>Bench × Bench</t>
        </is>
      </c>
      <c r="G3" s="2" t="inlineStr">
        <is>
          <t>Bench</t>
        </is>
      </c>
      <c r="I3" s="2" t="inlineStr">
        <is>
          <t>Bench</t>
        </is>
      </c>
      <c r="K3" s="2" t="inlineStr">
        <is>
          <t>F1</t>
        </is>
      </c>
      <c r="N3" s="2" t="inlineStr">
        <is>
          <t>Fontanimal</t>
        </is>
      </c>
      <c r="O3" s="2" t="n">
        <v>72</v>
      </c>
      <c r="P3" s="2" t="inlineStr">
        <is>
          <t>Seed</t>
        </is>
      </c>
      <c r="V3" s="2" t="inlineStr">
        <is>
          <t>Healthy</t>
        </is>
      </c>
    </row>
    <row r="4">
      <c r="A4" s="2" t="inlineStr">
        <is>
          <t>ANT-2025-0003</t>
        </is>
      </c>
      <c r="B4" s="2" t="inlineStr">
        <is>
          <t>2025-10-15</t>
        </is>
      </c>
      <c r="C4" s="2" t="inlineStr">
        <is>
          <t>Anthurium</t>
        </is>
      </c>
      <c r="E4" s="2" t="inlineStr">
        <is>
          <t>Besseae aff</t>
        </is>
      </c>
      <c r="F4" s="2" t="inlineStr">
        <is>
          <t>Besseae aff × Besseae aff (self)</t>
        </is>
      </c>
      <c r="G4" s="2" t="inlineStr">
        <is>
          <t>Besseae aff</t>
        </is>
      </c>
      <c r="I4" s="2" t="inlineStr">
        <is>
          <t>Besseae aff (self)</t>
        </is>
      </c>
      <c r="K4" s="2" t="inlineStr">
        <is>
          <t>F1</t>
        </is>
      </c>
      <c r="N4" s="2" t="inlineStr">
        <is>
          <t>Wuhoo Tropicals</t>
        </is>
      </c>
      <c r="O4" s="2" t="n">
        <v>64</v>
      </c>
      <c r="P4" s="2" t="inlineStr">
        <is>
          <t>Seed</t>
        </is>
      </c>
      <c r="V4" s="2" t="inlineStr">
        <is>
          <t>Healthy</t>
        </is>
      </c>
    </row>
    <row r="5">
      <c r="A5" s="2" t="inlineStr">
        <is>
          <t>ANT-2025-0004</t>
        </is>
      </c>
      <c r="B5" s="2" t="inlineStr">
        <is>
          <t>2025-10-15</t>
        </is>
      </c>
      <c r="C5" s="2" t="inlineStr">
        <is>
          <t>Anthurium</t>
        </is>
      </c>
      <c r="E5" s="2" t="inlineStr">
        <is>
          <t>BesseaexAOS</t>
        </is>
      </c>
      <c r="F5" s="2" t="inlineStr">
        <is>
          <t>Besseae aff × Ace of Spades</t>
        </is>
      </c>
      <c r="G5" s="2" t="inlineStr">
        <is>
          <t>Besseae aff</t>
        </is>
      </c>
      <c r="I5" s="2" t="inlineStr">
        <is>
          <t>Ace of Spades</t>
        </is>
      </c>
      <c r="K5" s="2" t="inlineStr">
        <is>
          <t>F1</t>
        </is>
      </c>
      <c r="N5" s="2" t="inlineStr">
        <is>
          <t>NSE</t>
        </is>
      </c>
      <c r="O5" s="2" t="n">
        <v>161</v>
      </c>
      <c r="P5" s="2" t="inlineStr">
        <is>
          <t>Seed</t>
        </is>
      </c>
      <c r="V5" s="2" t="inlineStr">
        <is>
          <t>Healthy</t>
        </is>
      </c>
    </row>
    <row r="6">
      <c r="A6" s="2" t="inlineStr">
        <is>
          <t>ANT-2025-0005</t>
        </is>
      </c>
      <c r="B6" s="2" t="inlineStr">
        <is>
          <t>2025-10-15</t>
        </is>
      </c>
      <c r="C6" s="2" t="inlineStr">
        <is>
          <t>Anthurium</t>
        </is>
      </c>
      <c r="E6" s="2" t="inlineStr">
        <is>
          <t>Birds Nest</t>
        </is>
      </c>
      <c r="F6" s="2" t="inlineStr">
        <is>
          <t>Birds Nest</t>
        </is>
      </c>
      <c r="G6" s="2" t="inlineStr">
        <is>
          <t>Renaissance (variegated)</t>
        </is>
      </c>
      <c r="K6" s="2" t="inlineStr">
        <is>
          <t>F1</t>
        </is>
      </c>
      <c r="N6" s="2" t="inlineStr">
        <is>
          <t>Dandi</t>
        </is>
      </c>
      <c r="O6" s="2" t="n">
        <v>27</v>
      </c>
      <c r="P6" s="2" t="inlineStr">
        <is>
          <t>TC</t>
        </is>
      </c>
      <c r="V6" s="2" t="inlineStr">
        <is>
          <t>Healthy</t>
        </is>
      </c>
    </row>
    <row r="7">
      <c r="A7" s="2" t="inlineStr">
        <is>
          <t>ANT-2025-0006</t>
        </is>
      </c>
      <c r="B7" s="2" t="inlineStr">
        <is>
          <t>2025-10-15</t>
        </is>
      </c>
      <c r="C7" s="2" t="inlineStr">
        <is>
          <t>Anthurium</t>
        </is>
      </c>
      <c r="E7" s="2" t="inlineStr">
        <is>
          <t>Brielle DB</t>
        </is>
      </c>
      <c r="F7" s="2" t="inlineStr">
        <is>
          <t>Brielle DB</t>
        </is>
      </c>
      <c r="G7" s="2" t="inlineStr">
        <is>
          <t>Crystallinum x Magnificum?</t>
        </is>
      </c>
      <c r="K7" s="2" t="inlineStr">
        <is>
          <t>F1</t>
        </is>
      </c>
      <c r="N7" s="2" t="inlineStr">
        <is>
          <t>Sunset Plants</t>
        </is>
      </c>
      <c r="O7" s="2" t="n">
        <v>98</v>
      </c>
      <c r="P7" s="2" t="inlineStr">
        <is>
          <t>Seed</t>
        </is>
      </c>
      <c r="V7" s="2" t="inlineStr">
        <is>
          <t>Healthy</t>
        </is>
      </c>
    </row>
    <row r="8">
      <c r="A8" s="2" t="inlineStr">
        <is>
          <t>ANT-2025-0007</t>
        </is>
      </c>
      <c r="B8" s="2" t="inlineStr">
        <is>
          <t>2025-10-15</t>
        </is>
      </c>
      <c r="C8" s="2" t="inlineStr">
        <is>
          <t>Anthurium</t>
        </is>
      </c>
      <c r="E8" s="2" t="inlineStr">
        <is>
          <t>BVEP/Antolakii (F4)</t>
        </is>
      </c>
      <c r="F8" s="2" t="inlineStr">
        <is>
          <t>Antolakii × Antolakii</t>
        </is>
      </c>
      <c r="G8" s="2" t="inlineStr">
        <is>
          <t>Antolakii</t>
        </is>
      </c>
      <c r="I8" s="2" t="inlineStr">
        <is>
          <t>Antolakii</t>
        </is>
      </c>
      <c r="K8" s="2" t="inlineStr">
        <is>
          <t>F1</t>
        </is>
      </c>
      <c r="N8" s="2" t="inlineStr">
        <is>
          <t>Tezula</t>
        </is>
      </c>
      <c r="O8" t="n">
        <v>0</v>
      </c>
      <c r="P8" s="2" t="inlineStr">
        <is>
          <t>seed</t>
        </is>
      </c>
      <c r="V8" s="2" t="inlineStr">
        <is>
          <t>Healthy</t>
        </is>
      </c>
      <c r="AA8" s="2" t="inlineStr">
        <is>
          <t>Daryl Direct</t>
        </is>
      </c>
    </row>
    <row r="9">
      <c r="A9" s="2" t="inlineStr">
        <is>
          <t>ANT-2025-0008</t>
        </is>
      </c>
      <c r="B9" s="2" t="inlineStr">
        <is>
          <t>2025-10-15</t>
        </is>
      </c>
      <c r="C9" s="2" t="inlineStr">
        <is>
          <t>Anthurium</t>
        </is>
      </c>
      <c r="E9" s="2" t="inlineStr">
        <is>
          <t>Carla x Antolakii</t>
        </is>
      </c>
      <c r="F9" s="2" t="inlineStr">
        <is>
          <t>Carlablackiae × Antolaki (BVEP)</t>
        </is>
      </c>
      <c r="G9" s="2" t="inlineStr">
        <is>
          <t>Carlablackiae</t>
        </is>
      </c>
      <c r="I9" s="2" t="inlineStr">
        <is>
          <t>Antolaki (BVEP)</t>
        </is>
      </c>
      <c r="K9" s="2" t="inlineStr">
        <is>
          <t>F1</t>
        </is>
      </c>
      <c r="N9" s="2" t="inlineStr">
        <is>
          <t>NSE</t>
        </is>
      </c>
      <c r="O9" s="2" t="n">
        <v>225</v>
      </c>
      <c r="P9" s="2" t="inlineStr">
        <is>
          <t>Seed</t>
        </is>
      </c>
      <c r="V9" s="2" t="inlineStr">
        <is>
          <t>Healthy</t>
        </is>
      </c>
    </row>
    <row r="10">
      <c r="A10" s="2" t="inlineStr">
        <is>
          <t>ANT-2025-0009</t>
        </is>
      </c>
      <c r="B10" s="2" t="inlineStr">
        <is>
          <t>2025-10-15</t>
        </is>
      </c>
      <c r="C10" s="2" t="inlineStr">
        <is>
          <t>Anthurium</t>
        </is>
      </c>
      <c r="E10" s="2" t="inlineStr">
        <is>
          <t>Carla x AOS</t>
        </is>
      </c>
      <c r="F10" s="2" t="inlineStr">
        <is>
          <t>Carlablackae × Ace of Spades</t>
        </is>
      </c>
      <c r="G10" s="2" t="inlineStr">
        <is>
          <t>Carlablackae</t>
        </is>
      </c>
      <c r="I10" s="2" t="inlineStr">
        <is>
          <t>Ace of Spades</t>
        </is>
      </c>
      <c r="K10" s="2" t="inlineStr">
        <is>
          <t>F1</t>
        </is>
      </c>
      <c r="O10" t="n">
        <v>0</v>
      </c>
      <c r="P10" s="2" t="inlineStr">
        <is>
          <t>Seed</t>
        </is>
      </c>
      <c r="V10" s="2" t="inlineStr">
        <is>
          <t>Healthy</t>
        </is>
      </c>
    </row>
    <row r="11">
      <c r="A11" s="2" t="inlineStr">
        <is>
          <t>ANT-2025-0010</t>
        </is>
      </c>
      <c r="B11" s="2" t="inlineStr">
        <is>
          <t>2025-10-15</t>
        </is>
      </c>
      <c r="C11" s="2" t="inlineStr">
        <is>
          <t>Anthurium</t>
        </is>
      </c>
      <c r="E11" s="2" t="inlineStr">
        <is>
          <t>Chocolate crystal Dark Lux</t>
        </is>
      </c>
      <c r="F11" s="2" t="inlineStr">
        <is>
          <t>Crystallinum (Chocolate wu1) × Luxurians (Dark)</t>
        </is>
      </c>
      <c r="G11" s="2" t="inlineStr">
        <is>
          <t>Crystallinum (Chocolate wu1)</t>
        </is>
      </c>
      <c r="I11" s="2" t="inlineStr">
        <is>
          <t>Luxurians (Dark)</t>
        </is>
      </c>
      <c r="K11" s="2" t="inlineStr">
        <is>
          <t>F1</t>
        </is>
      </c>
      <c r="N11" s="2" t="inlineStr">
        <is>
          <t>Wuhoo Tropicals</t>
        </is>
      </c>
      <c r="O11" s="2" t="n">
        <v>53</v>
      </c>
      <c r="P11" s="2" t="inlineStr">
        <is>
          <t>Seed</t>
        </is>
      </c>
      <c r="V11" s="2" t="inlineStr">
        <is>
          <t>Healthy</t>
        </is>
      </c>
    </row>
    <row r="12">
      <c r="A12" s="2" t="inlineStr">
        <is>
          <t>ANT-2025-0011</t>
        </is>
      </c>
      <c r="B12" s="2" t="inlineStr">
        <is>
          <t>2025-10-15</t>
        </is>
      </c>
      <c r="C12" s="2" t="inlineStr">
        <is>
          <t>Anthurium</t>
        </is>
      </c>
      <c r="E12" s="2" t="inlineStr">
        <is>
          <t>Crystallinum Hybrid</t>
        </is>
      </c>
      <c r="F12" s="2" t="inlineStr">
        <is>
          <t>Doriaki × Crystallinum</t>
        </is>
      </c>
      <c r="G12" s="2" t="inlineStr">
        <is>
          <t>Doriaki</t>
        </is>
      </c>
      <c r="I12" s="2" t="inlineStr">
        <is>
          <t>Crystallinum</t>
        </is>
      </c>
      <c r="K12" s="2" t="inlineStr">
        <is>
          <t>F1</t>
        </is>
      </c>
      <c r="N12" s="2" t="inlineStr">
        <is>
          <t>Auroras Garden Supply</t>
        </is>
      </c>
      <c r="O12" s="2" t="n">
        <v>100</v>
      </c>
      <c r="P12" s="2" t="inlineStr">
        <is>
          <t>Seed</t>
        </is>
      </c>
      <c r="V12" s="2" t="inlineStr">
        <is>
          <t>Healthy</t>
        </is>
      </c>
    </row>
    <row r="13">
      <c r="A13" s="2" t="inlineStr">
        <is>
          <t>ANT-2025-0012</t>
        </is>
      </c>
      <c r="B13" s="2" t="inlineStr">
        <is>
          <t>2025-10-15</t>
        </is>
      </c>
      <c r="C13" s="2" t="inlineStr">
        <is>
          <t>Anthurium</t>
        </is>
      </c>
      <c r="E13" s="2" t="inlineStr">
        <is>
          <t>Dark Mama</t>
        </is>
      </c>
      <c r="F13" s="2" t="inlineStr">
        <is>
          <t>Dark Mama</t>
        </is>
      </c>
      <c r="G13" s="2" t="inlineStr">
        <is>
          <t>Waroquiem</t>
        </is>
      </c>
      <c r="K13" s="2" t="inlineStr">
        <is>
          <t>F1</t>
        </is>
      </c>
      <c r="N13" s="2" t="inlineStr">
        <is>
          <t>Dandi</t>
        </is>
      </c>
      <c r="O13" s="2" t="n">
        <v>68</v>
      </c>
      <c r="P13" s="2" t="inlineStr">
        <is>
          <t>TC 10</t>
        </is>
      </c>
      <c r="V13" s="2" t="inlineStr">
        <is>
          <t>Healthy</t>
        </is>
      </c>
    </row>
    <row r="14">
      <c r="A14" s="2" t="inlineStr">
        <is>
          <t>ANT-2025-0013</t>
        </is>
      </c>
      <c r="B14" s="2" t="inlineStr">
        <is>
          <t>2025-10-15</t>
        </is>
      </c>
      <c r="C14" s="2" t="inlineStr">
        <is>
          <t>Anthurium</t>
        </is>
      </c>
      <c r="E14" s="2" t="inlineStr">
        <is>
          <t>Dark Pheonix</t>
        </is>
      </c>
      <c r="F14" s="2" t="inlineStr">
        <is>
          <t>Dark Pheonix</t>
        </is>
      </c>
      <c r="G14" s="2" t="inlineStr">
        <is>
          <t>Dark Pheonix</t>
        </is>
      </c>
      <c r="K14" s="2" t="inlineStr">
        <is>
          <t>F1</t>
        </is>
      </c>
      <c r="N14" s="2" t="inlineStr">
        <is>
          <t>Dandi</t>
        </is>
      </c>
      <c r="O14" s="2" t="n">
        <v>90</v>
      </c>
      <c r="P14" s="2" t="inlineStr">
        <is>
          <t>TC</t>
        </is>
      </c>
      <c r="V14" s="2" t="inlineStr">
        <is>
          <t>Healthy</t>
        </is>
      </c>
    </row>
    <row r="15">
      <c r="A15" s="2" t="inlineStr">
        <is>
          <t>ANT-2025-0014</t>
        </is>
      </c>
      <c r="B15" s="2" t="inlineStr">
        <is>
          <t>2025-10-15</t>
        </is>
      </c>
      <c r="C15" s="2" t="inlineStr">
        <is>
          <t>Anthurium</t>
        </is>
      </c>
      <c r="E15" s="2" t="inlineStr">
        <is>
          <t>Dark Pheonix</t>
        </is>
      </c>
      <c r="F15" s="2" t="inlineStr">
        <is>
          <t>Dark Pheonix</t>
        </is>
      </c>
      <c r="G15" s="2" t="inlineStr">
        <is>
          <t>Dark Pheonix</t>
        </is>
      </c>
      <c r="K15" s="2" t="inlineStr">
        <is>
          <t>F1</t>
        </is>
      </c>
      <c r="N15" s="2" t="inlineStr">
        <is>
          <t>Dandi</t>
        </is>
      </c>
      <c r="O15" s="2" t="n">
        <v>90</v>
      </c>
      <c r="P15" s="2" t="inlineStr">
        <is>
          <t>TC</t>
        </is>
      </c>
      <c r="V15" s="2" t="inlineStr">
        <is>
          <t>Healthy</t>
        </is>
      </c>
    </row>
    <row r="16">
      <c r="A16" s="2" t="inlineStr">
        <is>
          <t>ANT-2025-0015</t>
        </is>
      </c>
      <c r="B16" s="2" t="inlineStr">
        <is>
          <t>2025-10-15</t>
        </is>
      </c>
      <c r="C16" s="2" t="inlineStr">
        <is>
          <t>Anthurium</t>
        </is>
      </c>
      <c r="E16" s="2" t="inlineStr">
        <is>
          <t>Delta Force</t>
        </is>
      </c>
      <c r="F16" s="2" t="inlineStr">
        <is>
          <t>Delta Force</t>
        </is>
      </c>
      <c r="G16" s="2" t="inlineStr">
        <is>
          <t>Delta Force</t>
        </is>
      </c>
      <c r="K16" s="2" t="inlineStr">
        <is>
          <t>F1</t>
        </is>
      </c>
      <c r="N16" s="2" t="inlineStr">
        <is>
          <t>Dandi</t>
        </is>
      </c>
      <c r="O16" s="2" t="n">
        <v>100</v>
      </c>
      <c r="P16" s="2" t="inlineStr">
        <is>
          <t>TC</t>
        </is>
      </c>
      <c r="V16" s="2" t="inlineStr">
        <is>
          <t>Healthy</t>
        </is>
      </c>
    </row>
    <row r="17">
      <c r="A17" s="2" t="inlineStr">
        <is>
          <t>ANT-2025-0016</t>
        </is>
      </c>
      <c r="B17" s="2" t="inlineStr">
        <is>
          <t>2025-10-15</t>
        </is>
      </c>
      <c r="C17" s="2" t="inlineStr">
        <is>
          <t>Anthurium</t>
        </is>
      </c>
      <c r="E17" s="2" t="inlineStr">
        <is>
          <t>Delta Force</t>
        </is>
      </c>
      <c r="F17" s="2" t="inlineStr">
        <is>
          <t>Delta Force</t>
        </is>
      </c>
      <c r="G17" s="2" t="inlineStr">
        <is>
          <t>Delta Force</t>
        </is>
      </c>
      <c r="K17" s="2" t="inlineStr">
        <is>
          <t>F1</t>
        </is>
      </c>
      <c r="N17" s="2" t="inlineStr">
        <is>
          <t>Wuhoo Tropicals</t>
        </is>
      </c>
      <c r="O17" s="2" t="n">
        <v>55</v>
      </c>
      <c r="P17" s="2" t="inlineStr">
        <is>
          <t>Seed</t>
        </is>
      </c>
      <c r="V17" s="2" t="inlineStr">
        <is>
          <t>Healthy</t>
        </is>
      </c>
    </row>
    <row r="18">
      <c r="A18" s="2" t="inlineStr">
        <is>
          <t>ANT-2025-0017</t>
        </is>
      </c>
      <c r="B18" s="2" t="inlineStr">
        <is>
          <t>2025-10-15</t>
        </is>
      </c>
      <c r="C18" s="2" t="inlineStr">
        <is>
          <t>Anthurium</t>
        </is>
      </c>
      <c r="E18" s="2" t="inlineStr">
        <is>
          <t>Dress x Nova DF</t>
        </is>
      </c>
      <c r="F18" s="2" t="inlineStr">
        <is>
          <t>Dressleri (Windy FP1) × SP Nov DF</t>
        </is>
      </c>
      <c r="G18" s="2" t="inlineStr">
        <is>
          <t>Dressleri (Windy FP1)</t>
        </is>
      </c>
      <c r="I18" s="2" t="inlineStr">
        <is>
          <t>SP Nov DF</t>
        </is>
      </c>
      <c r="K18" s="2" t="inlineStr">
        <is>
          <t>F1</t>
        </is>
      </c>
      <c r="N18" s="2" t="inlineStr">
        <is>
          <t>Fontanimal</t>
        </is>
      </c>
      <c r="O18" s="2" t="n">
        <v>70</v>
      </c>
      <c r="P18" s="2" t="inlineStr">
        <is>
          <t>Seed</t>
        </is>
      </c>
      <c r="V18" s="2" t="inlineStr">
        <is>
          <t>Healthy</t>
        </is>
      </c>
    </row>
    <row r="19">
      <c r="A19" s="2" t="inlineStr">
        <is>
          <t>ANT-2025-0018</t>
        </is>
      </c>
      <c r="B19" s="2" t="inlineStr">
        <is>
          <t>2025-10-15</t>
        </is>
      </c>
      <c r="C19" s="2" t="inlineStr">
        <is>
          <t>Anthurium</t>
        </is>
      </c>
      <c r="E19" s="2" t="inlineStr">
        <is>
          <t>Dress/Pap hybrid</t>
        </is>
      </c>
      <c r="F19" s="2" t="inlineStr">
        <is>
          <t>Dressleri (Ree Gardens) x Open × RLFS</t>
        </is>
      </c>
      <c r="G19" s="2" t="inlineStr">
        <is>
          <t>Dressleri (Ree Gardens) x Open</t>
        </is>
      </c>
      <c r="I19" s="2" t="inlineStr">
        <is>
          <t>RLFS</t>
        </is>
      </c>
      <c r="K19" s="2" t="inlineStr">
        <is>
          <t>F1</t>
        </is>
      </c>
      <c r="N19" s="2" t="inlineStr">
        <is>
          <t>Fontanimal</t>
        </is>
      </c>
      <c r="O19" s="2" t="n">
        <v>77</v>
      </c>
      <c r="P19" s="2" t="inlineStr">
        <is>
          <t>Seed</t>
        </is>
      </c>
      <c r="V19" s="2" t="inlineStr">
        <is>
          <t>Healthy</t>
        </is>
      </c>
    </row>
    <row r="20">
      <c r="A20" s="2" t="inlineStr">
        <is>
          <t>ANT-2025-0019</t>
        </is>
      </c>
      <c r="B20" s="2" t="inlineStr">
        <is>
          <t>2025-10-15</t>
        </is>
      </c>
      <c r="C20" s="2" t="inlineStr">
        <is>
          <t>Anthurium</t>
        </is>
      </c>
      <c r="E20" s="2" t="inlineStr">
        <is>
          <t>Dressleri "Windy"</t>
        </is>
      </c>
      <c r="F20" s="2" t="inlineStr">
        <is>
          <t>Dressleri (Windy FP1) × Dressleri (Windy FP2)</t>
        </is>
      </c>
      <c r="G20" s="2" t="inlineStr">
        <is>
          <t>Dressleri (Windy FP1)</t>
        </is>
      </c>
      <c r="I20" s="2" t="inlineStr">
        <is>
          <t>Dressleri (Windy FP2)</t>
        </is>
      </c>
      <c r="K20" s="2" t="inlineStr">
        <is>
          <t>F1</t>
        </is>
      </c>
      <c r="N20" s="2" t="inlineStr">
        <is>
          <t>Fontanimal</t>
        </is>
      </c>
      <c r="O20" s="2" t="n">
        <v>200</v>
      </c>
      <c r="P20" s="2" t="inlineStr">
        <is>
          <t>Seed</t>
        </is>
      </c>
      <c r="V20" s="2" t="inlineStr">
        <is>
          <t>Healthy</t>
        </is>
      </c>
    </row>
    <row r="21">
      <c r="A21" s="2" t="inlineStr">
        <is>
          <t>ANT-2025-0020</t>
        </is>
      </c>
      <c r="B21" s="2" t="inlineStr">
        <is>
          <t>2025-10-15</t>
        </is>
      </c>
      <c r="C21" s="2" t="inlineStr">
        <is>
          <t>Anthurium</t>
        </is>
      </c>
      <c r="E21" s="2" t="inlineStr">
        <is>
          <t>Dressleri Colón</t>
        </is>
      </c>
      <c r="F21" s="2" t="inlineStr">
        <is>
          <t>Dressleri Colon × Dressleri Colón</t>
        </is>
      </c>
      <c r="G21" s="2" t="inlineStr">
        <is>
          <t>Dressleri Colon</t>
        </is>
      </c>
      <c r="I21" s="2" t="inlineStr">
        <is>
          <t>Dressleri Colón</t>
        </is>
      </c>
      <c r="K21" s="2" t="inlineStr">
        <is>
          <t>F1</t>
        </is>
      </c>
      <c r="N21" s="2" t="inlineStr">
        <is>
          <t>Tezula</t>
        </is>
      </c>
      <c r="O21" t="n">
        <v>0</v>
      </c>
      <c r="P21" s="2" t="inlineStr">
        <is>
          <t>seed</t>
        </is>
      </c>
      <c r="V21" s="2" t="inlineStr">
        <is>
          <t>Healthy</t>
        </is>
      </c>
      <c r="AA21" s="2" t="inlineStr">
        <is>
          <t>Bill Direct</t>
        </is>
      </c>
    </row>
    <row r="22">
      <c r="A22" s="2" t="inlineStr">
        <is>
          <t>ANT-2025-0021</t>
        </is>
      </c>
      <c r="B22" s="2" t="inlineStr">
        <is>
          <t>2025-10-15</t>
        </is>
      </c>
      <c r="C22" s="2" t="inlineStr">
        <is>
          <t>Anthurium</t>
        </is>
      </c>
      <c r="E22" s="2" t="inlineStr">
        <is>
          <t>Dressleri hybrid (w/pap?)</t>
        </is>
      </c>
      <c r="F22" s="2" t="inlineStr">
        <is>
          <t>Dressleri Narrow (Ree Gardens) × Dressleri (Windy)</t>
        </is>
      </c>
      <c r="G22" s="2" t="inlineStr">
        <is>
          <t>Dressleri Narrow (Ree Gardens)</t>
        </is>
      </c>
      <c r="I22" s="2" t="inlineStr">
        <is>
          <t>Dressleri (Windy)</t>
        </is>
      </c>
      <c r="K22" s="2" t="inlineStr">
        <is>
          <t>F1</t>
        </is>
      </c>
      <c r="N22" s="2" t="inlineStr">
        <is>
          <t>Fontanimal</t>
        </is>
      </c>
      <c r="O22" s="2" t="n">
        <v>61</v>
      </c>
      <c r="P22" s="2" t="inlineStr">
        <is>
          <t>Seed</t>
        </is>
      </c>
      <c r="V22" s="2" t="inlineStr">
        <is>
          <t>Healthy</t>
        </is>
      </c>
    </row>
    <row r="23">
      <c r="A23" s="2" t="inlineStr">
        <is>
          <t>ANT-2025-0022</t>
        </is>
      </c>
      <c r="B23" s="2" t="inlineStr">
        <is>
          <t>2025-10-15</t>
        </is>
      </c>
      <c r="C23" s="2" t="inlineStr">
        <is>
          <t>Anthurium</t>
        </is>
      </c>
      <c r="E23" s="2" t="inlineStr">
        <is>
          <t>Dressleri Rio Gaunche</t>
        </is>
      </c>
      <c r="F23" s="2" t="inlineStr">
        <is>
          <t xml:space="preserve">Dressleri × Dressleri </t>
        </is>
      </c>
      <c r="G23" s="2" t="inlineStr">
        <is>
          <t>Dressleri</t>
        </is>
      </c>
      <c r="I23" s="2" t="inlineStr">
        <is>
          <t xml:space="preserve">Dressleri </t>
        </is>
      </c>
      <c r="K23" s="2" t="inlineStr">
        <is>
          <t>F1</t>
        </is>
      </c>
      <c r="N23" s="2" t="inlineStr">
        <is>
          <t>NSE</t>
        </is>
      </c>
      <c r="O23" t="n">
        <v>0</v>
      </c>
      <c r="P23" s="2" t="inlineStr">
        <is>
          <t>seed</t>
        </is>
      </c>
      <c r="V23" s="2" t="inlineStr">
        <is>
          <t>Healthy</t>
        </is>
      </c>
      <c r="AA23" s="2" t="inlineStr">
        <is>
          <t>direct</t>
        </is>
      </c>
    </row>
    <row r="24">
      <c r="A24" s="2" t="inlineStr">
        <is>
          <t>ANT-2025-0023</t>
        </is>
      </c>
      <c r="B24" s="2" t="inlineStr">
        <is>
          <t>2025-10-15</t>
        </is>
      </c>
      <c r="C24" s="2" t="inlineStr">
        <is>
          <t>Anthurium</t>
        </is>
      </c>
      <c r="E24" s="2" t="inlineStr">
        <is>
          <t>Forgettii (F1) self</t>
        </is>
      </c>
      <c r="F24" s="2" t="inlineStr">
        <is>
          <t>Forgettii × Forgettii</t>
        </is>
      </c>
      <c r="G24" s="2" t="inlineStr">
        <is>
          <t>Forgettii</t>
        </is>
      </c>
      <c r="I24" s="2" t="inlineStr">
        <is>
          <t>Forgettii</t>
        </is>
      </c>
      <c r="K24" s="2" t="inlineStr">
        <is>
          <t>F1</t>
        </is>
      </c>
      <c r="N24" s="2" t="inlineStr">
        <is>
          <t>NSE</t>
        </is>
      </c>
      <c r="O24" s="2" t="n">
        <v>82</v>
      </c>
      <c r="P24" s="2" t="inlineStr">
        <is>
          <t>Seed</t>
        </is>
      </c>
      <c r="V24" s="2" t="inlineStr">
        <is>
          <t>Healthy</t>
        </is>
      </c>
    </row>
    <row r="25">
      <c r="A25" s="2" t="inlineStr">
        <is>
          <t>ANT-2025-0024</t>
        </is>
      </c>
      <c r="B25" s="2" t="inlineStr">
        <is>
          <t>2025-10-15</t>
        </is>
      </c>
      <c r="C25" s="2" t="inlineStr">
        <is>
          <t>Anthurium</t>
        </is>
      </c>
      <c r="E25" s="2" t="inlineStr">
        <is>
          <t>FTG (F1) Self</t>
        </is>
      </c>
      <c r="F25" s="2" t="inlineStr">
        <is>
          <t>Fairchild FTG × Fairchild FTG</t>
        </is>
      </c>
      <c r="G25" s="2" t="inlineStr">
        <is>
          <t>Fairchild FTG</t>
        </is>
      </c>
      <c r="I25" s="2" t="inlineStr">
        <is>
          <t>Fairchild FTG</t>
        </is>
      </c>
      <c r="K25" s="2" t="inlineStr">
        <is>
          <t>F1</t>
        </is>
      </c>
      <c r="N25" s="2" t="inlineStr">
        <is>
          <t>NSE</t>
        </is>
      </c>
      <c r="O25" s="2" t="n">
        <v>87</v>
      </c>
      <c r="P25" s="2" t="inlineStr">
        <is>
          <t>Seed</t>
        </is>
      </c>
      <c r="V25" s="2" t="inlineStr">
        <is>
          <t>Healthy</t>
        </is>
      </c>
    </row>
    <row r="26">
      <c r="A26" s="2" t="inlineStr">
        <is>
          <t>ANT-2025-0025</t>
        </is>
      </c>
      <c r="B26" s="2" t="inlineStr">
        <is>
          <t>2025-10-15</t>
        </is>
      </c>
      <c r="C26" s="2" t="inlineStr">
        <is>
          <t>Anthurium</t>
        </is>
      </c>
      <c r="E26" s="2" t="inlineStr">
        <is>
          <t>hybrid</t>
        </is>
      </c>
      <c r="F26" s="2" t="inlineStr">
        <is>
          <t>Ace of Spades x Antolaki (BVEP) × Crystallinum (variegated)</t>
        </is>
      </c>
      <c r="G26" s="2" t="inlineStr">
        <is>
          <t>Ace of Spades x Antolaki (BVEP)</t>
        </is>
      </c>
      <c r="I26" s="2" t="inlineStr">
        <is>
          <t>Crystallinum (variegated)</t>
        </is>
      </c>
      <c r="K26" s="2" t="inlineStr">
        <is>
          <t>F1</t>
        </is>
      </c>
      <c r="N26" s="2" t="inlineStr">
        <is>
          <t>Wuhoo Tropicals</t>
        </is>
      </c>
      <c r="O26" s="2" t="n">
        <v>53</v>
      </c>
      <c r="P26" s="2" t="inlineStr">
        <is>
          <t>Seed</t>
        </is>
      </c>
      <c r="V26" s="2" t="inlineStr">
        <is>
          <t>Healthy</t>
        </is>
      </c>
    </row>
    <row r="27">
      <c r="A27" s="2" t="inlineStr">
        <is>
          <t>ANT-2025-0026</t>
        </is>
      </c>
      <c r="B27" s="2" t="inlineStr">
        <is>
          <t>2025-10-15</t>
        </is>
      </c>
      <c r="C27" s="2" t="inlineStr">
        <is>
          <t>Anthurium</t>
        </is>
      </c>
      <c r="E27" s="2" t="inlineStr">
        <is>
          <t>hybrid</t>
        </is>
      </c>
      <c r="F27" s="2" t="inlineStr">
        <is>
          <t>Besseae aff × Brielle x Red Crystallinum</t>
        </is>
      </c>
      <c r="G27" s="2" t="inlineStr">
        <is>
          <t>Besseae aff</t>
        </is>
      </c>
      <c r="I27" s="2" t="inlineStr">
        <is>
          <t>Brielle x Red Crystallinum</t>
        </is>
      </c>
      <c r="K27" s="2" t="inlineStr">
        <is>
          <t>F1</t>
        </is>
      </c>
      <c r="N27" s="2" t="inlineStr">
        <is>
          <t>Dandi</t>
        </is>
      </c>
      <c r="O27" s="2" t="n">
        <v>110</v>
      </c>
      <c r="P27" s="2" t="inlineStr">
        <is>
          <t>Seed</t>
        </is>
      </c>
      <c r="V27" s="2" t="inlineStr">
        <is>
          <t>Healthy</t>
        </is>
      </c>
    </row>
    <row r="28">
      <c r="A28" s="2" t="inlineStr">
        <is>
          <t>ANT-2025-0027</t>
        </is>
      </c>
      <c r="B28" s="2" t="inlineStr">
        <is>
          <t>2025-10-15</t>
        </is>
      </c>
      <c r="C28" s="2" t="inlineStr">
        <is>
          <t>Anthurium</t>
        </is>
      </c>
      <c r="E28" s="2" t="inlineStr">
        <is>
          <t>Hybrid</t>
        </is>
      </c>
      <c r="F28" s="2" t="inlineStr">
        <is>
          <t>Crystallinum x Magnificum × Michelle</t>
        </is>
      </c>
      <c r="G28" s="2" t="inlineStr">
        <is>
          <t>Crystallinum x Magnificum</t>
        </is>
      </c>
      <c r="I28" s="2" t="inlineStr">
        <is>
          <t>Michelle</t>
        </is>
      </c>
      <c r="K28" s="2" t="inlineStr">
        <is>
          <t>F1</t>
        </is>
      </c>
      <c r="N28" s="2" t="inlineStr">
        <is>
          <t>Dandi</t>
        </is>
      </c>
      <c r="O28" s="2" t="n">
        <v>51</v>
      </c>
      <c r="P28" s="2" t="inlineStr">
        <is>
          <t>Seed</t>
        </is>
      </c>
      <c r="V28" s="2" t="inlineStr">
        <is>
          <t>Healthy</t>
        </is>
      </c>
    </row>
    <row r="29">
      <c r="A29" s="2" t="inlineStr">
        <is>
          <t>ANT-2025-0028</t>
        </is>
      </c>
      <c r="B29" s="2" t="inlineStr">
        <is>
          <t>2025-10-15</t>
        </is>
      </c>
      <c r="C29" s="2" t="inlineStr">
        <is>
          <t>Anthurium</t>
        </is>
      </c>
      <c r="E29" s="2" t="inlineStr">
        <is>
          <t>Hybrid</t>
        </is>
      </c>
      <c r="F29" s="2" t="inlineStr">
        <is>
          <t>Dorayaki x Red Crystallinum × Papililaminum x Self</t>
        </is>
      </c>
      <c r="G29" s="2" t="inlineStr">
        <is>
          <t>Dorayaki x Red Crystallinum</t>
        </is>
      </c>
      <c r="I29" s="2" t="inlineStr">
        <is>
          <t>Papililaminum x Self</t>
        </is>
      </c>
      <c r="K29" s="2" t="inlineStr">
        <is>
          <t>F1</t>
        </is>
      </c>
      <c r="N29" s="2" t="inlineStr">
        <is>
          <t>Dandi</t>
        </is>
      </c>
      <c r="O29" s="2" t="n">
        <v>110</v>
      </c>
      <c r="P29" s="2" t="inlineStr">
        <is>
          <t>Seed</t>
        </is>
      </c>
      <c r="V29" s="2" t="inlineStr">
        <is>
          <t>Healthy</t>
        </is>
      </c>
    </row>
    <row r="30">
      <c r="A30" s="2" t="inlineStr">
        <is>
          <t>ANT-2025-0029</t>
        </is>
      </c>
      <c r="B30" s="2" t="inlineStr">
        <is>
          <t>2025-10-15</t>
        </is>
      </c>
      <c r="C30" s="2" t="inlineStr">
        <is>
          <t>Anthurium</t>
        </is>
      </c>
      <c r="E30" s="2" t="inlineStr">
        <is>
          <t>Hybrid</t>
        </is>
      </c>
      <c r="F30" s="2" t="inlineStr">
        <is>
          <t>Doriaki x forgetii × Luxurians</t>
        </is>
      </c>
      <c r="G30" s="2" t="inlineStr">
        <is>
          <t>Doriaki x forgetii</t>
        </is>
      </c>
      <c r="I30" s="2" t="inlineStr">
        <is>
          <t>Luxurians</t>
        </is>
      </c>
      <c r="K30" s="2" t="inlineStr">
        <is>
          <t>F1</t>
        </is>
      </c>
      <c r="N30" s="2" t="inlineStr">
        <is>
          <t>Dandi</t>
        </is>
      </c>
      <c r="O30" s="2" t="n">
        <v>40</v>
      </c>
      <c r="P30" s="2" t="inlineStr">
        <is>
          <t>Seed</t>
        </is>
      </c>
      <c r="V30" s="2" t="inlineStr">
        <is>
          <t>Healthy</t>
        </is>
      </c>
    </row>
    <row r="31">
      <c r="A31" s="2" t="inlineStr">
        <is>
          <t>ANT-2025-0030</t>
        </is>
      </c>
      <c r="B31" s="2" t="inlineStr">
        <is>
          <t>2025-10-15</t>
        </is>
      </c>
      <c r="C31" s="2" t="inlineStr">
        <is>
          <t>Anthurium</t>
        </is>
      </c>
      <c r="E31" s="2" t="inlineStr">
        <is>
          <t>Hybrid</t>
        </is>
      </c>
      <c r="F31" s="2" t="inlineStr">
        <is>
          <t>Hybrid</t>
        </is>
      </c>
      <c r="G31" s="2" t="inlineStr">
        <is>
          <t>Hoffmanii Hybrid (Ree Gardens)</t>
        </is>
      </c>
      <c r="K31" s="2" t="inlineStr">
        <is>
          <t>F1</t>
        </is>
      </c>
      <c r="N31" s="2" t="inlineStr">
        <is>
          <t>Wuhoo Tropicals</t>
        </is>
      </c>
      <c r="O31" s="2" t="n">
        <v>189</v>
      </c>
      <c r="P31" s="2" t="inlineStr">
        <is>
          <t>Seed</t>
        </is>
      </c>
      <c r="V31" s="2" t="inlineStr">
        <is>
          <t>Healthy</t>
        </is>
      </c>
    </row>
    <row r="32">
      <c r="A32" s="2" t="inlineStr">
        <is>
          <t>ANT-2025-0031</t>
        </is>
      </c>
      <c r="B32" s="2" t="inlineStr">
        <is>
          <t>2025-10-15</t>
        </is>
      </c>
      <c r="C32" s="2" t="inlineStr">
        <is>
          <t>Anthurium</t>
        </is>
      </c>
      <c r="E32" s="2" t="inlineStr">
        <is>
          <t>Hybrid</t>
        </is>
      </c>
      <c r="F32" s="2" t="inlineStr">
        <is>
          <t>Papillilaminum/Magnificum × Luxurians</t>
        </is>
      </c>
      <c r="G32" s="2" t="inlineStr">
        <is>
          <t>Papillilaminum/Magnificum</t>
        </is>
      </c>
      <c r="I32" s="2" t="inlineStr">
        <is>
          <t>Luxurians</t>
        </is>
      </c>
      <c r="K32" s="2" t="inlineStr">
        <is>
          <t>F1</t>
        </is>
      </c>
      <c r="N32" s="2" t="inlineStr">
        <is>
          <t>Dandi</t>
        </is>
      </c>
      <c r="O32" s="2" t="n">
        <v>225</v>
      </c>
      <c r="P32" s="2" t="inlineStr">
        <is>
          <t>Seed</t>
        </is>
      </c>
      <c r="V32" s="2" t="inlineStr">
        <is>
          <t>Healthy</t>
        </is>
      </c>
    </row>
    <row r="33">
      <c r="A33" s="2" t="inlineStr">
        <is>
          <t>ANT-2025-0032</t>
        </is>
      </c>
      <c r="B33" s="2" t="inlineStr">
        <is>
          <t>2025-10-15</t>
        </is>
      </c>
      <c r="C33" s="2" t="inlineStr">
        <is>
          <t>Anthurium</t>
        </is>
      </c>
      <c r="E33" s="2" t="inlineStr">
        <is>
          <t>Hybrid</t>
        </is>
      </c>
      <c r="F33" s="2" t="inlineStr">
        <is>
          <t>Magnificum × Zara x Michelle</t>
        </is>
      </c>
      <c r="G33" s="2" t="inlineStr">
        <is>
          <t>Magnificum</t>
        </is>
      </c>
      <c r="I33" s="2" t="inlineStr">
        <is>
          <t>Zara x Michelle</t>
        </is>
      </c>
      <c r="K33" s="2" t="inlineStr">
        <is>
          <t>F1</t>
        </is>
      </c>
      <c r="N33" s="2" t="inlineStr">
        <is>
          <t>Dandi</t>
        </is>
      </c>
      <c r="O33" s="2" t="n">
        <v>190</v>
      </c>
      <c r="P33" s="2" t="inlineStr">
        <is>
          <t>Seed</t>
        </is>
      </c>
      <c r="V33" s="2" t="inlineStr">
        <is>
          <t>Healthy</t>
        </is>
      </c>
    </row>
    <row r="34">
      <c r="A34" s="2" t="inlineStr">
        <is>
          <t>ANT-2025-0033</t>
        </is>
      </c>
      <c r="B34" s="2" t="inlineStr">
        <is>
          <t>2025-10-15</t>
        </is>
      </c>
      <c r="C34" s="2" t="inlineStr">
        <is>
          <t>Anthurium</t>
        </is>
      </c>
      <c r="E34" s="2" t="inlineStr">
        <is>
          <t>Hybrid</t>
        </is>
      </c>
      <c r="F34" s="2" t="inlineStr">
        <is>
          <t>Papillilaminum 'Soul Reaper' (Tezula) × Carlablackiae</t>
        </is>
      </c>
      <c r="G34" s="2" t="inlineStr">
        <is>
          <t>Papillilaminum 'Soul Reaper' (Tezula)</t>
        </is>
      </c>
      <c r="I34" s="2" t="inlineStr">
        <is>
          <t>Carlablackiae</t>
        </is>
      </c>
      <c r="K34" s="2" t="inlineStr">
        <is>
          <t>F1</t>
        </is>
      </c>
      <c r="N34" s="2" t="inlineStr">
        <is>
          <t>Tezula</t>
        </is>
      </c>
      <c r="O34" s="2" t="n">
        <v>448</v>
      </c>
      <c r="P34" s="2" t="inlineStr">
        <is>
          <t>Seed</t>
        </is>
      </c>
      <c r="V34" s="2" t="inlineStr">
        <is>
          <t>Healthy</t>
        </is>
      </c>
    </row>
    <row r="35">
      <c r="A35" s="2" t="inlineStr">
        <is>
          <t>ANT-2025-0034</t>
        </is>
      </c>
      <c r="B35" s="2" t="inlineStr">
        <is>
          <t>2025-10-15</t>
        </is>
      </c>
      <c r="C35" s="2" t="inlineStr">
        <is>
          <t>Anthurium</t>
        </is>
      </c>
      <c r="E35" s="2" t="inlineStr">
        <is>
          <t>Hybrid</t>
        </is>
      </c>
      <c r="F35" s="2" t="inlineStr">
        <is>
          <t>Papillilaminum (Wu9) × Carlablackiae (wu2)</t>
        </is>
      </c>
      <c r="G35" s="2" t="inlineStr">
        <is>
          <t>Papillilaminum (Wu9)</t>
        </is>
      </c>
      <c r="I35" s="2" t="inlineStr">
        <is>
          <t>Carlablackiae (wu2)</t>
        </is>
      </c>
      <c r="K35" s="2" t="inlineStr">
        <is>
          <t>F1</t>
        </is>
      </c>
      <c r="N35" s="2" t="inlineStr">
        <is>
          <t>Wuhoo Tropicals</t>
        </is>
      </c>
      <c r="O35" s="2" t="n">
        <v>53</v>
      </c>
      <c r="P35" s="2" t="inlineStr">
        <is>
          <t>Seed</t>
        </is>
      </c>
      <c r="V35" s="2" t="inlineStr">
        <is>
          <t>Healthy</t>
        </is>
      </c>
    </row>
    <row r="36">
      <c r="A36" s="2" t="inlineStr">
        <is>
          <t>ANT-2025-0035</t>
        </is>
      </c>
      <c r="B36" s="2" t="inlineStr">
        <is>
          <t>2025-10-15</t>
        </is>
      </c>
      <c r="C36" s="2" t="inlineStr">
        <is>
          <t>Anthurium</t>
        </is>
      </c>
      <c r="E36" s="2" t="inlineStr">
        <is>
          <t>Hybrid</t>
        </is>
      </c>
      <c r="F36" s="2" t="inlineStr">
        <is>
          <t>Portilleae (NSE) × Dressleri (FP2)</t>
        </is>
      </c>
      <c r="G36" s="2" t="inlineStr">
        <is>
          <t>Portilleae (NSE)</t>
        </is>
      </c>
      <c r="I36" s="2" t="inlineStr">
        <is>
          <t>Dressleri (FP2)</t>
        </is>
      </c>
      <c r="K36" s="2" t="inlineStr">
        <is>
          <t>F1</t>
        </is>
      </c>
      <c r="N36" s="2" t="inlineStr">
        <is>
          <t>Fontanimal</t>
        </is>
      </c>
      <c r="O36" s="2" t="n">
        <v>66</v>
      </c>
      <c r="P36" s="2" t="inlineStr">
        <is>
          <t>Seed</t>
        </is>
      </c>
      <c r="V36" s="2" t="inlineStr">
        <is>
          <t>Healthy</t>
        </is>
      </c>
    </row>
    <row r="37">
      <c r="A37" s="2" t="inlineStr">
        <is>
          <t>ANT-2025-0036</t>
        </is>
      </c>
      <c r="B37" s="2" t="inlineStr">
        <is>
          <t>2025-10-15</t>
        </is>
      </c>
      <c r="C37" s="2" t="inlineStr">
        <is>
          <t>Anthurium</t>
        </is>
      </c>
      <c r="E37" s="2" t="inlineStr">
        <is>
          <t>hybrid</t>
        </is>
      </c>
      <c r="F37" s="2" t="inlineStr">
        <is>
          <t>Regale × Besseae aff</t>
        </is>
      </c>
      <c r="G37" s="2" t="inlineStr">
        <is>
          <t>Regale</t>
        </is>
      </c>
      <c r="I37" s="2" t="inlineStr">
        <is>
          <t>Besseae aff</t>
        </is>
      </c>
      <c r="K37" s="2" t="inlineStr">
        <is>
          <t>F1</t>
        </is>
      </c>
      <c r="N37" s="2" t="inlineStr">
        <is>
          <t>RareNakedPlants</t>
        </is>
      </c>
      <c r="O37" s="2" t="n">
        <v>339</v>
      </c>
      <c r="P37" s="2" t="inlineStr">
        <is>
          <t>Seed</t>
        </is>
      </c>
      <c r="V37" s="2" t="inlineStr">
        <is>
          <t>Healthy</t>
        </is>
      </c>
    </row>
    <row r="38">
      <c r="A38" s="2" t="inlineStr">
        <is>
          <t>ANT-2025-0037</t>
        </is>
      </c>
      <c r="B38" s="2" t="inlineStr">
        <is>
          <t>2025-10-15</t>
        </is>
      </c>
      <c r="C38" s="2" t="inlineStr">
        <is>
          <t>Anthurium</t>
        </is>
      </c>
      <c r="E38" s="2" t="inlineStr">
        <is>
          <t>Lexi's Dream</t>
        </is>
      </c>
      <c r="F38" s="2" t="inlineStr">
        <is>
          <t>Red Crystallinum × AOS x Leland</t>
        </is>
      </c>
      <c r="G38" s="2" t="inlineStr">
        <is>
          <t>Red Crystallinum</t>
        </is>
      </c>
      <c r="I38" s="2" t="inlineStr">
        <is>
          <t>AOS x Leland</t>
        </is>
      </c>
      <c r="K38" s="2" t="inlineStr">
        <is>
          <t>F1</t>
        </is>
      </c>
      <c r="N38" s="2" t="inlineStr">
        <is>
          <t>Fontanimal</t>
        </is>
      </c>
      <c r="O38" s="2" t="n">
        <v>307</v>
      </c>
      <c r="P38" s="2" t="inlineStr">
        <is>
          <t>Seed</t>
        </is>
      </c>
      <c r="V38" s="2" t="inlineStr">
        <is>
          <t>Healthy</t>
        </is>
      </c>
    </row>
    <row r="39">
      <c r="A39" s="2" t="inlineStr">
        <is>
          <t>ANT-2025-0038</t>
        </is>
      </c>
      <c r="B39" s="2" t="inlineStr">
        <is>
          <t>2025-10-15</t>
        </is>
      </c>
      <c r="C39" s="2" t="inlineStr">
        <is>
          <t>Anthurium</t>
        </is>
      </c>
      <c r="E39" s="2" t="inlineStr">
        <is>
          <t>Lux - Green</t>
        </is>
      </c>
      <c r="F39" s="2" t="inlineStr">
        <is>
          <t>Luxurians × Luxurians</t>
        </is>
      </c>
      <c r="G39" s="2" t="inlineStr">
        <is>
          <t>Luxurians</t>
        </is>
      </c>
      <c r="I39" s="2" t="inlineStr">
        <is>
          <t>Luxurians</t>
        </is>
      </c>
      <c r="K39" s="2" t="inlineStr">
        <is>
          <t>F1</t>
        </is>
      </c>
      <c r="N39" s="2" t="inlineStr">
        <is>
          <t>Dandi</t>
        </is>
      </c>
      <c r="O39" s="2" t="n">
        <v>190</v>
      </c>
      <c r="P39" s="2" t="inlineStr">
        <is>
          <t>Seed</t>
        </is>
      </c>
      <c r="V39" s="2" t="inlineStr">
        <is>
          <t>Healthy</t>
        </is>
      </c>
    </row>
    <row r="40">
      <c r="A40" s="2" t="inlineStr">
        <is>
          <t>ANT-2025-0039</t>
        </is>
      </c>
      <c r="B40" s="2" t="inlineStr">
        <is>
          <t>2025-10-15</t>
        </is>
      </c>
      <c r="C40" s="2" t="inlineStr">
        <is>
          <t>Anthurium</t>
        </is>
      </c>
      <c r="E40" s="2" t="inlineStr">
        <is>
          <t>Magnificum</t>
        </is>
      </c>
      <c r="F40" s="2" t="inlineStr">
        <is>
          <t>Magnificum</t>
        </is>
      </c>
      <c r="G40" s="2" t="inlineStr">
        <is>
          <t>Magnificum</t>
        </is>
      </c>
      <c r="K40" s="2" t="inlineStr">
        <is>
          <t>F1</t>
        </is>
      </c>
      <c r="N40" s="2" t="inlineStr">
        <is>
          <t>USAmazonPlants</t>
        </is>
      </c>
      <c r="O40" s="2" t="n">
        <v>53</v>
      </c>
      <c r="P40" s="2" t="inlineStr">
        <is>
          <t>Clone</t>
        </is>
      </c>
      <c r="V40" s="2" t="inlineStr">
        <is>
          <t>Healthy</t>
        </is>
      </c>
    </row>
    <row r="41">
      <c r="A41" s="2" t="inlineStr">
        <is>
          <t>ANT-2025-0040</t>
        </is>
      </c>
      <c r="B41" s="2" t="inlineStr">
        <is>
          <t>2025-10-15</t>
        </is>
      </c>
      <c r="C41" s="2" t="inlineStr">
        <is>
          <t>Anthurium</t>
        </is>
      </c>
      <c r="E41" s="2" t="inlineStr">
        <is>
          <t>Michelle</t>
        </is>
      </c>
      <c r="F41" s="2" t="inlineStr">
        <is>
          <t>Michelle × Michelle</t>
        </is>
      </c>
      <c r="G41" s="2" t="inlineStr">
        <is>
          <t>Michelle</t>
        </is>
      </c>
      <c r="I41" s="2" t="inlineStr">
        <is>
          <t>Michelle</t>
        </is>
      </c>
      <c r="K41" s="2" t="inlineStr">
        <is>
          <t>F1</t>
        </is>
      </c>
      <c r="N41" s="2" t="inlineStr">
        <is>
          <t>Doc Block</t>
        </is>
      </c>
      <c r="O41" s="2" t="n">
        <v>95</v>
      </c>
      <c r="P41" s="2" t="inlineStr">
        <is>
          <t>Seed</t>
        </is>
      </c>
      <c r="V41" s="2" t="inlineStr">
        <is>
          <t>Healthy</t>
        </is>
      </c>
    </row>
    <row r="42">
      <c r="A42" s="2" t="inlineStr">
        <is>
          <t>ANT-2025-0041</t>
        </is>
      </c>
      <c r="B42" s="2" t="inlineStr">
        <is>
          <t>2025-10-15</t>
        </is>
      </c>
      <c r="C42" s="2" t="inlineStr">
        <is>
          <t>Anthurium</t>
        </is>
      </c>
      <c r="E42" s="2" t="inlineStr">
        <is>
          <t>Michelle</t>
        </is>
      </c>
      <c r="F42" s="2" t="inlineStr">
        <is>
          <t>Michelle (MS) × Michelle</t>
        </is>
      </c>
      <c r="G42" s="2" t="inlineStr">
        <is>
          <t>Michelle (MS)</t>
        </is>
      </c>
      <c r="I42" s="2" t="inlineStr">
        <is>
          <t>Michelle</t>
        </is>
      </c>
      <c r="K42" s="2" t="inlineStr">
        <is>
          <t>F1</t>
        </is>
      </c>
      <c r="N42" s="2" t="inlineStr">
        <is>
          <t>Doc Block</t>
        </is>
      </c>
      <c r="O42" s="2" t="n">
        <v>95</v>
      </c>
      <c r="P42" s="2" t="inlineStr">
        <is>
          <t>Seed</t>
        </is>
      </c>
      <c r="V42" s="2" t="inlineStr">
        <is>
          <t>Healthy</t>
        </is>
      </c>
    </row>
    <row r="43">
      <c r="A43" s="2" t="inlineStr">
        <is>
          <t>ANT-2025-0042</t>
        </is>
      </c>
      <c r="B43" s="2" t="inlineStr">
        <is>
          <t>2025-10-15</t>
        </is>
      </c>
      <c r="C43" s="2" t="inlineStr">
        <is>
          <t>Anthurium</t>
        </is>
      </c>
      <c r="E43" s="2" t="inlineStr">
        <is>
          <t>Michelle</t>
        </is>
      </c>
      <c r="F43" s="2" t="inlineStr">
        <is>
          <t>Michelle (MS) × Michelle</t>
        </is>
      </c>
      <c r="G43" s="2" t="inlineStr">
        <is>
          <t>Michelle (MS)</t>
        </is>
      </c>
      <c r="I43" s="2" t="inlineStr">
        <is>
          <t>Michelle</t>
        </is>
      </c>
      <c r="K43" s="2" t="inlineStr">
        <is>
          <t>F1</t>
        </is>
      </c>
      <c r="N43" s="2" t="inlineStr">
        <is>
          <t>Doc Block</t>
        </is>
      </c>
      <c r="O43" t="n">
        <v>0</v>
      </c>
      <c r="P43" s="2" t="inlineStr">
        <is>
          <t>Clone</t>
        </is>
      </c>
      <c r="V43" s="2" t="inlineStr">
        <is>
          <t>Healthy</t>
        </is>
      </c>
    </row>
    <row r="44">
      <c r="A44" s="2" t="inlineStr">
        <is>
          <t>ANT-2025-0043</t>
        </is>
      </c>
      <c r="B44" s="2" t="inlineStr">
        <is>
          <t>2025-10-15</t>
        </is>
      </c>
      <c r="C44" s="2" t="inlineStr">
        <is>
          <t>Anthurium</t>
        </is>
      </c>
      <c r="E44" s="2" t="inlineStr">
        <is>
          <t>NSE Port - Dewey Fisk</t>
        </is>
      </c>
      <c r="F44" s="2" t="inlineStr">
        <is>
          <t>Portilleae (NSE) × Self</t>
        </is>
      </c>
      <c r="G44" s="2" t="inlineStr">
        <is>
          <t>Portilleae (NSE)</t>
        </is>
      </c>
      <c r="I44" s="2" t="inlineStr">
        <is>
          <t>Self</t>
        </is>
      </c>
      <c r="K44" s="2" t="inlineStr">
        <is>
          <t>F1</t>
        </is>
      </c>
      <c r="N44" s="2" t="inlineStr">
        <is>
          <t>NSE</t>
        </is>
      </c>
      <c r="O44" t="n">
        <v>0</v>
      </c>
      <c r="P44" s="2" t="inlineStr">
        <is>
          <t>seed</t>
        </is>
      </c>
      <c r="V44" s="2" t="inlineStr">
        <is>
          <t>Healthy</t>
        </is>
      </c>
      <c r="AA44" s="2" t="inlineStr">
        <is>
          <t>direct</t>
        </is>
      </c>
    </row>
    <row r="45">
      <c r="A45" s="2" t="inlineStr">
        <is>
          <t>ANT-2025-0044</t>
        </is>
      </c>
      <c r="B45" s="2" t="inlineStr">
        <is>
          <t>2025-10-15</t>
        </is>
      </c>
      <c r="C45" s="2" t="inlineStr">
        <is>
          <t>Anthurium</t>
        </is>
      </c>
      <c r="E45" s="2" t="inlineStr">
        <is>
          <t>NSE Red Crystal</t>
        </is>
      </c>
      <c r="F45" s="2" t="inlineStr">
        <is>
          <t>Red Crystallinum × Luxurians</t>
        </is>
      </c>
      <c r="G45" s="2" t="inlineStr">
        <is>
          <t>Red Crystallinum</t>
        </is>
      </c>
      <c r="I45" s="2" t="inlineStr">
        <is>
          <t>Luxurians</t>
        </is>
      </c>
      <c r="K45" s="2" t="inlineStr">
        <is>
          <t>F1</t>
        </is>
      </c>
      <c r="N45" s="2" t="inlineStr">
        <is>
          <t>NSE</t>
        </is>
      </c>
      <c r="O45" s="2" t="n">
        <v>161</v>
      </c>
      <c r="P45" s="2" t="inlineStr">
        <is>
          <t>Seed</t>
        </is>
      </c>
      <c r="V45" s="2" t="inlineStr">
        <is>
          <t>Healthy</t>
        </is>
      </c>
    </row>
    <row r="46">
      <c r="A46" s="2" t="inlineStr">
        <is>
          <t>ANT-2025-0045</t>
        </is>
      </c>
      <c r="B46" s="2" t="inlineStr">
        <is>
          <t>2025-10-15</t>
        </is>
      </c>
      <c r="C46" s="2" t="inlineStr">
        <is>
          <t>Anthurium</t>
        </is>
      </c>
      <c r="E46" s="2" t="inlineStr">
        <is>
          <t>Pallidiforum</t>
        </is>
      </c>
      <c r="F46" s="2" t="inlineStr">
        <is>
          <t>Pallidiflorum × Pallidiforum</t>
        </is>
      </c>
      <c r="G46" s="2" t="inlineStr">
        <is>
          <t>Pallidiflorum</t>
        </is>
      </c>
      <c r="I46" s="2" t="inlineStr">
        <is>
          <t>Pallidiforum</t>
        </is>
      </c>
      <c r="K46" s="2" t="inlineStr">
        <is>
          <t>F1</t>
        </is>
      </c>
      <c r="N46" s="2" t="inlineStr">
        <is>
          <t>Dandi</t>
        </is>
      </c>
      <c r="O46" s="2" t="n">
        <v>50</v>
      </c>
      <c r="P46" s="2" t="inlineStr">
        <is>
          <t>Seed</t>
        </is>
      </c>
      <c r="V46" s="2" t="inlineStr">
        <is>
          <t>Healthy</t>
        </is>
      </c>
    </row>
    <row r="47">
      <c r="A47" s="2" t="inlineStr">
        <is>
          <t>ANT-2025-0046</t>
        </is>
      </c>
      <c r="B47" s="2" t="inlineStr">
        <is>
          <t>2025-10-15</t>
        </is>
      </c>
      <c r="C47" s="2" t="inlineStr">
        <is>
          <t>Anthurium</t>
        </is>
      </c>
      <c r="E47" s="2" t="inlineStr">
        <is>
          <t>Pap - Colón form</t>
        </is>
      </c>
      <c r="F47" s="2" t="inlineStr">
        <is>
          <t>Pap - Colón form</t>
        </is>
      </c>
      <c r="G47" s="2" t="inlineStr">
        <is>
          <t>Papillilaminum colón</t>
        </is>
      </c>
      <c r="K47" s="2" t="inlineStr">
        <is>
          <t>F1</t>
        </is>
      </c>
      <c r="N47" s="2" t="inlineStr">
        <is>
          <t>Sunset Plants</t>
        </is>
      </c>
      <c r="O47" s="2" t="n">
        <v>64</v>
      </c>
      <c r="P47" s="2" t="inlineStr">
        <is>
          <t>clone</t>
        </is>
      </c>
      <c r="V47" s="2" t="inlineStr">
        <is>
          <t>Healthy</t>
        </is>
      </c>
    </row>
    <row r="48">
      <c r="A48" s="2" t="inlineStr">
        <is>
          <t>ANT-2025-0047</t>
        </is>
      </c>
      <c r="B48" s="2" t="inlineStr">
        <is>
          <t>2025-10-15</t>
        </is>
      </c>
      <c r="C48" s="2" t="inlineStr">
        <is>
          <t>Anthurium</t>
        </is>
      </c>
      <c r="E48" s="2" t="inlineStr">
        <is>
          <t>Pap/Mag hybrid?</t>
        </is>
      </c>
      <c r="F48" s="2" t="inlineStr">
        <is>
          <t>Papillilaminum × Papililaminum Red Stem</t>
        </is>
      </c>
      <c r="G48" s="2" t="inlineStr">
        <is>
          <t>Papillilaminum</t>
        </is>
      </c>
      <c r="I48" s="2" t="inlineStr">
        <is>
          <t>Papililaminum Red Stem</t>
        </is>
      </c>
      <c r="K48" s="2" t="inlineStr">
        <is>
          <t>F1</t>
        </is>
      </c>
      <c r="O48" s="2" t="n">
        <v>40</v>
      </c>
      <c r="P48" s="2" t="inlineStr">
        <is>
          <t>Seed</t>
        </is>
      </c>
      <c r="V48" s="2" t="inlineStr">
        <is>
          <t>Healthy</t>
        </is>
      </c>
    </row>
    <row r="49">
      <c r="A49" s="2" t="inlineStr">
        <is>
          <t>ANT-2025-0048</t>
        </is>
      </c>
      <c r="B49" s="2" t="inlineStr">
        <is>
          <t>2025-10-15</t>
        </is>
      </c>
      <c r="C49" s="2" t="inlineStr">
        <is>
          <t>Anthurium</t>
        </is>
      </c>
      <c r="E49" s="2" t="inlineStr">
        <is>
          <t>Papililaminum (RA8xSelf)</t>
        </is>
      </c>
      <c r="F49" s="2" t="inlineStr">
        <is>
          <t>Papillilaminum (RA8) × Self</t>
        </is>
      </c>
      <c r="G49" s="2" t="inlineStr">
        <is>
          <t>Papillilaminum (RA8)</t>
        </is>
      </c>
      <c r="I49" s="2" t="inlineStr">
        <is>
          <t>Self</t>
        </is>
      </c>
      <c r="K49" s="2" t="inlineStr">
        <is>
          <t>F1</t>
        </is>
      </c>
      <c r="N49" s="2" t="inlineStr">
        <is>
          <t>Tezula</t>
        </is>
      </c>
      <c r="O49" t="n">
        <v>0</v>
      </c>
      <c r="P49" s="2" t="inlineStr">
        <is>
          <t>seed</t>
        </is>
      </c>
      <c r="V49" s="2" t="inlineStr">
        <is>
          <t>Healthy</t>
        </is>
      </c>
      <c r="AA49" s="2" t="inlineStr">
        <is>
          <t>Daryl Direct</t>
        </is>
      </c>
    </row>
    <row r="50">
      <c r="A50" s="2" t="inlineStr">
        <is>
          <t>ANT-2025-0049</t>
        </is>
      </c>
      <c r="B50" s="2" t="inlineStr">
        <is>
          <t>2025-10-15</t>
        </is>
      </c>
      <c r="C50" s="2" t="inlineStr">
        <is>
          <t>Anthurium</t>
        </is>
      </c>
      <c r="E50" s="2" t="inlineStr">
        <is>
          <t>Papililaminum 40x40</t>
        </is>
      </c>
      <c r="F50" s="2" t="inlineStr">
        <is>
          <t>Papillilaminum (RA 8x5) × Papillilaminum (RA 8x5)</t>
        </is>
      </c>
      <c r="G50" s="2" t="inlineStr">
        <is>
          <t>Papillilaminum (RA 8x5)</t>
        </is>
      </c>
      <c r="I50" s="2" t="inlineStr">
        <is>
          <t>Papillilaminum (RA 8x5)</t>
        </is>
      </c>
      <c r="K50" s="2" t="inlineStr">
        <is>
          <t>F1</t>
        </is>
      </c>
      <c r="N50" s="2" t="inlineStr">
        <is>
          <t>Tezula</t>
        </is>
      </c>
      <c r="O50" t="n">
        <v>0</v>
      </c>
      <c r="P50" s="2" t="inlineStr">
        <is>
          <t>seed</t>
        </is>
      </c>
      <c r="V50" s="2" t="inlineStr">
        <is>
          <t>Healthy</t>
        </is>
      </c>
      <c r="AA50" s="2" t="inlineStr">
        <is>
          <t>Daryl Direct</t>
        </is>
      </c>
    </row>
    <row r="51">
      <c r="A51" s="2" t="inlineStr">
        <is>
          <t>ANT-2025-0050</t>
        </is>
      </c>
      <c r="B51" s="2" t="inlineStr">
        <is>
          <t>2025-10-15</t>
        </is>
      </c>
      <c r="C51" s="2" t="inlineStr">
        <is>
          <t>Anthurium</t>
        </is>
      </c>
      <c r="E51" s="2" t="inlineStr">
        <is>
          <t>Queen of Hearts</t>
        </is>
      </c>
      <c r="F51" s="2" t="inlineStr">
        <is>
          <t>Queen of Hearts</t>
        </is>
      </c>
      <c r="G51" s="2" t="inlineStr">
        <is>
          <t>Queen of Hearts</t>
        </is>
      </c>
      <c r="K51" s="2" t="inlineStr">
        <is>
          <t>F1</t>
        </is>
      </c>
      <c r="N51" s="2" t="inlineStr">
        <is>
          <t>RareNakedPlants</t>
        </is>
      </c>
      <c r="O51" s="2" t="n">
        <v>69</v>
      </c>
      <c r="P51" s="2" t="inlineStr">
        <is>
          <t>Seed</t>
        </is>
      </c>
      <c r="V51" s="2" t="inlineStr">
        <is>
          <t>Healthy</t>
        </is>
      </c>
    </row>
    <row r="52">
      <c r="A52" s="2" t="inlineStr">
        <is>
          <t>ANT-2025-0051</t>
        </is>
      </c>
      <c r="B52" s="2" t="inlineStr">
        <is>
          <t>2025-10-15</t>
        </is>
      </c>
      <c r="C52" s="2" t="inlineStr">
        <is>
          <t>Anthurium</t>
        </is>
      </c>
      <c r="E52" s="2" t="inlineStr">
        <is>
          <t>Radicans</t>
        </is>
      </c>
      <c r="F52" s="2" t="inlineStr">
        <is>
          <t>Radicans × Luxurians</t>
        </is>
      </c>
      <c r="G52" s="2" t="inlineStr">
        <is>
          <t>Radicans</t>
        </is>
      </c>
      <c r="I52" s="2" t="inlineStr">
        <is>
          <t>Luxurians</t>
        </is>
      </c>
      <c r="K52" s="2" t="inlineStr">
        <is>
          <t>F1</t>
        </is>
      </c>
      <c r="N52" s="2" t="inlineStr">
        <is>
          <t>Dandi</t>
        </is>
      </c>
      <c r="O52" s="2" t="n">
        <v>20</v>
      </c>
      <c r="P52" s="2" t="inlineStr">
        <is>
          <t>Seed</t>
        </is>
      </c>
      <c r="V52" s="2" t="inlineStr">
        <is>
          <t>Healthy</t>
        </is>
      </c>
    </row>
    <row r="53">
      <c r="A53" s="2" t="inlineStr">
        <is>
          <t>ANT-2025-0052</t>
        </is>
      </c>
      <c r="B53" s="2" t="inlineStr">
        <is>
          <t>2025-10-15</t>
        </is>
      </c>
      <c r="C53" s="2" t="inlineStr">
        <is>
          <t>Anthurium</t>
        </is>
      </c>
      <c r="E53" s="2" t="inlineStr">
        <is>
          <t>Red Spide</t>
        </is>
      </c>
      <c r="F53" s="2" t="inlineStr">
        <is>
          <t>Red Spide</t>
        </is>
      </c>
      <c r="G53" s="2" t="inlineStr">
        <is>
          <t>Red Spider</t>
        </is>
      </c>
      <c r="K53" s="2" t="inlineStr">
        <is>
          <t>F1</t>
        </is>
      </c>
      <c r="N53" s="2" t="inlineStr">
        <is>
          <t>Wuhoo Tropicals</t>
        </is>
      </c>
      <c r="O53" s="2" t="n">
        <v>255</v>
      </c>
      <c r="P53" s="2" t="inlineStr">
        <is>
          <t>Clone</t>
        </is>
      </c>
      <c r="V53" s="2" t="inlineStr">
        <is>
          <t>Healthy</t>
        </is>
      </c>
    </row>
    <row r="54">
      <c r="A54" s="2" t="inlineStr">
        <is>
          <t>ANT-2025-0053</t>
        </is>
      </c>
      <c r="B54" s="2" t="inlineStr">
        <is>
          <t>2025-10-15</t>
        </is>
      </c>
      <c r="C54" s="2" t="inlineStr">
        <is>
          <t>Anthurium</t>
        </is>
      </c>
      <c r="E54" s="2" t="inlineStr">
        <is>
          <t>Silver Blush</t>
        </is>
      </c>
      <c r="F54" s="2" t="inlineStr">
        <is>
          <t>Silver Blush</t>
        </is>
      </c>
      <c r="G54" s="2" t="inlineStr">
        <is>
          <t>Silver Blush</t>
        </is>
      </c>
      <c r="K54" s="2" t="inlineStr">
        <is>
          <t>F1</t>
        </is>
      </c>
      <c r="N54" s="2" t="inlineStr">
        <is>
          <t>Fontanimal</t>
        </is>
      </c>
      <c r="O54" s="2" t="n">
        <v>61</v>
      </c>
      <c r="P54" s="2" t="inlineStr">
        <is>
          <t>Seed</t>
        </is>
      </c>
      <c r="V54" s="2" t="inlineStr">
        <is>
          <t>Healthy</t>
        </is>
      </c>
    </row>
    <row r="55">
      <c r="A55" s="2" t="inlineStr">
        <is>
          <t>ANT-2025-0054</t>
        </is>
      </c>
      <c r="B55" s="2" t="inlineStr">
        <is>
          <t>2025-10-15</t>
        </is>
      </c>
      <c r="C55" s="2" t="inlineStr">
        <is>
          <t>Anthurium</t>
        </is>
      </c>
      <c r="E55" s="2" t="inlineStr">
        <is>
          <t>Silver Chrome</t>
        </is>
      </c>
      <c r="F55" s="2" t="inlineStr">
        <is>
          <t>Silver Chrome</t>
        </is>
      </c>
      <c r="G55" s="2" t="inlineStr">
        <is>
          <t>Silver Chrome</t>
        </is>
      </c>
      <c r="K55" s="2" t="inlineStr">
        <is>
          <t>F1</t>
        </is>
      </c>
      <c r="N55" s="2" t="inlineStr">
        <is>
          <t>Fontanimal</t>
        </is>
      </c>
      <c r="O55" s="2" t="n">
        <v>93</v>
      </c>
      <c r="P55" s="2" t="inlineStr">
        <is>
          <t>Seed</t>
        </is>
      </c>
      <c r="V55" s="2" t="inlineStr">
        <is>
          <t>Healthy</t>
        </is>
      </c>
    </row>
    <row r="56">
      <c r="A56" s="2" t="inlineStr">
        <is>
          <t>ANT-2025-0055</t>
        </is>
      </c>
      <c r="B56" s="2" t="inlineStr">
        <is>
          <t>2025-10-15</t>
        </is>
      </c>
      <c r="C56" s="2" t="inlineStr">
        <is>
          <t>Anthurium</t>
        </is>
      </c>
      <c r="E56" s="2" t="inlineStr">
        <is>
          <t>SKG Silver</t>
        </is>
      </c>
      <c r="F56" s="2" t="inlineStr">
        <is>
          <t>SKG Silver × SKG Silver</t>
        </is>
      </c>
      <c r="G56" s="2" t="inlineStr">
        <is>
          <t>SKG Silver</t>
        </is>
      </c>
      <c r="I56" s="2" t="inlineStr">
        <is>
          <t>SKG Silver</t>
        </is>
      </c>
      <c r="K56" s="2" t="inlineStr">
        <is>
          <t>F1</t>
        </is>
      </c>
      <c r="N56" s="2" t="inlineStr">
        <is>
          <t>SKG</t>
        </is>
      </c>
      <c r="O56" t="n">
        <v>0</v>
      </c>
      <c r="P56" s="2" t="inlineStr">
        <is>
          <t>Seed</t>
        </is>
      </c>
      <c r="V56" s="2" t="inlineStr">
        <is>
          <t>Healthy</t>
        </is>
      </c>
      <c r="AA56" s="2" t="inlineStr">
        <is>
          <t>Bill Direct</t>
        </is>
      </c>
    </row>
    <row r="57">
      <c r="A57" s="2" t="inlineStr">
        <is>
          <t>ANT-2025-0056</t>
        </is>
      </c>
      <c r="B57" s="2" t="inlineStr">
        <is>
          <t>2025-10-15</t>
        </is>
      </c>
      <c r="C57" s="2" t="inlineStr">
        <is>
          <t>Anthurium</t>
        </is>
      </c>
      <c r="E57" s="2" t="inlineStr">
        <is>
          <t>sp nova</t>
        </is>
      </c>
      <c r="F57" s="2" t="inlineStr">
        <is>
          <t>sp nova</t>
        </is>
      </c>
      <c r="G57" s="2" t="inlineStr">
        <is>
          <t>Lavender</t>
        </is>
      </c>
      <c r="K57" s="2" t="inlineStr">
        <is>
          <t>F1</t>
        </is>
      </c>
      <c r="N57" s="2" t="inlineStr">
        <is>
          <t>NSE</t>
        </is>
      </c>
      <c r="O57" s="2" t="n">
        <v>82</v>
      </c>
      <c r="P57" s="2" t="inlineStr">
        <is>
          <t>Seeds 10</t>
        </is>
      </c>
      <c r="V57" s="2" t="inlineStr">
        <is>
          <t>Healthy</t>
        </is>
      </c>
    </row>
    <row r="58">
      <c r="A58" s="2" t="inlineStr">
        <is>
          <t>ANT-2025-0057</t>
        </is>
      </c>
      <c r="B58" s="2" t="inlineStr">
        <is>
          <t>2025-10-15</t>
        </is>
      </c>
      <c r="C58" s="2" t="inlineStr">
        <is>
          <t>Anthurium</t>
        </is>
      </c>
      <c r="E58" s="2" t="inlineStr">
        <is>
          <t>Tezula Red Crystal</t>
        </is>
      </c>
      <c r="F58" s="2" t="inlineStr">
        <is>
          <t>Purple Crystallinum (Tezula) × Red Crystallinum (Tezula)</t>
        </is>
      </c>
      <c r="G58" s="2" t="inlineStr">
        <is>
          <t>Purple Crystallinum (Tezula)</t>
        </is>
      </c>
      <c r="I58" s="2" t="inlineStr">
        <is>
          <t>Red Crystallinum (Tezula)</t>
        </is>
      </c>
      <c r="K58" s="2" t="inlineStr">
        <is>
          <t>F1</t>
        </is>
      </c>
      <c r="N58" s="2" t="inlineStr">
        <is>
          <t>Dandi</t>
        </is>
      </c>
      <c r="O58" s="2" t="n">
        <v>179</v>
      </c>
      <c r="P58" s="2" t="inlineStr">
        <is>
          <t>Seed</t>
        </is>
      </c>
      <c r="V58" s="2" t="inlineStr">
        <is>
          <t>Healthy</t>
        </is>
      </c>
    </row>
    <row r="59">
      <c r="A59" s="2" t="inlineStr">
        <is>
          <t>ANT-2025-0058</t>
        </is>
      </c>
      <c r="B59" s="2" t="inlineStr">
        <is>
          <t>2025-10-15</t>
        </is>
      </c>
      <c r="C59" s="2" t="inlineStr">
        <is>
          <t>Anthurium</t>
        </is>
      </c>
      <c r="E59" s="2" t="inlineStr">
        <is>
          <t>Tezula Red Crystal Mini</t>
        </is>
      </c>
      <c r="F59" s="2" t="inlineStr">
        <is>
          <t>Red Crystallinum × Red Crystallinum</t>
        </is>
      </c>
      <c r="G59" s="2" t="inlineStr">
        <is>
          <t>Red Crystallinum</t>
        </is>
      </c>
      <c r="I59" s="2" t="inlineStr">
        <is>
          <t>Red Crystallinum</t>
        </is>
      </c>
      <c r="K59" s="2" t="inlineStr">
        <is>
          <t>F1</t>
        </is>
      </c>
      <c r="N59" s="2" t="inlineStr">
        <is>
          <t>Tezula</t>
        </is>
      </c>
      <c r="O59" s="2" t="n">
        <v>150</v>
      </c>
      <c r="P59" s="2" t="inlineStr">
        <is>
          <t>offset</t>
        </is>
      </c>
      <c r="V59" s="2" t="inlineStr">
        <is>
          <t>Healthy</t>
        </is>
      </c>
      <c r="AA59" s="2" t="inlineStr">
        <is>
          <t>Daryl Direct</t>
        </is>
      </c>
    </row>
    <row r="60">
      <c r="A60" s="2" t="inlineStr">
        <is>
          <t>ANT-2025-0059</t>
        </is>
      </c>
      <c r="B60" s="2" t="inlineStr">
        <is>
          <t>2025-10-15</t>
        </is>
      </c>
      <c r="C60" s="2" t="inlineStr">
        <is>
          <t>Anthurium</t>
        </is>
      </c>
      <c r="E60" s="2" t="inlineStr">
        <is>
          <t>Tezula Red Crystal Quilted</t>
        </is>
      </c>
      <c r="F60" s="2" t="inlineStr">
        <is>
          <t>Red Crystal  × Self</t>
        </is>
      </c>
      <c r="G60" s="2" t="inlineStr">
        <is>
          <t xml:space="preserve">Red Crystal </t>
        </is>
      </c>
      <c r="I60" s="2" t="inlineStr">
        <is>
          <t>Self</t>
        </is>
      </c>
      <c r="K60" s="2" t="inlineStr">
        <is>
          <t>F1</t>
        </is>
      </c>
      <c r="N60" s="2" t="inlineStr">
        <is>
          <t>Tezula</t>
        </is>
      </c>
      <c r="O60" s="2" t="n">
        <v>750</v>
      </c>
      <c r="P60" s="2" t="inlineStr">
        <is>
          <t>seed</t>
        </is>
      </c>
      <c r="V60" s="2" t="inlineStr">
        <is>
          <t>Healthy</t>
        </is>
      </c>
      <c r="AA60" s="2" t="inlineStr">
        <is>
          <t>Daryl Direct</t>
        </is>
      </c>
    </row>
    <row r="61">
      <c r="A61" s="2" t="inlineStr">
        <is>
          <t>ANT-2025-0060</t>
        </is>
      </c>
      <c r="B61" s="2" t="inlineStr">
        <is>
          <t>2025-10-15</t>
        </is>
      </c>
      <c r="C61" s="2" t="inlineStr">
        <is>
          <t>Anthurium</t>
        </is>
      </c>
      <c r="E61" s="2" t="inlineStr">
        <is>
          <t>Vittarifolum</t>
        </is>
      </c>
      <c r="F61" s="2" t="inlineStr">
        <is>
          <t>Vittarifolum</t>
        </is>
      </c>
      <c r="G61" s="2" t="inlineStr">
        <is>
          <t>Vittarifolium (Variegated)</t>
        </is>
      </c>
      <c r="K61" s="2" t="inlineStr">
        <is>
          <t>F1</t>
        </is>
      </c>
      <c r="N61" s="2" t="inlineStr">
        <is>
          <t>Dandi</t>
        </is>
      </c>
      <c r="O61" s="2" t="n">
        <v>97</v>
      </c>
      <c r="P61" s="2" t="inlineStr">
        <is>
          <t>TC</t>
        </is>
      </c>
      <c r="V61" s="2" t="inlineStr">
        <is>
          <t>Healthy</t>
        </is>
      </c>
    </row>
    <row r="62">
      <c r="A62" s="2" t="inlineStr">
        <is>
          <t>ANT-2025-0061</t>
        </is>
      </c>
      <c r="B62" s="2" t="inlineStr">
        <is>
          <t>2025-10-15</t>
        </is>
      </c>
      <c r="C62" s="2" t="inlineStr">
        <is>
          <t>Anthurium</t>
        </is>
      </c>
      <c r="E62" s="2" t="inlineStr">
        <is>
          <t>Warocuonum x rugolusum</t>
        </is>
      </c>
      <c r="F62" s="2" t="inlineStr">
        <is>
          <t>Warocuonum × Reugolosum</t>
        </is>
      </c>
      <c r="G62" s="2" t="inlineStr">
        <is>
          <t>Warocuonum</t>
        </is>
      </c>
      <c r="I62" s="2" t="inlineStr">
        <is>
          <t>Reugolosum</t>
        </is>
      </c>
      <c r="K62" s="2" t="inlineStr">
        <is>
          <t>F1</t>
        </is>
      </c>
      <c r="N62" s="2" t="inlineStr">
        <is>
          <t>SKG</t>
        </is>
      </c>
      <c r="O62" t="n">
        <v>0</v>
      </c>
      <c r="P62" s="2" t="inlineStr">
        <is>
          <t>seed</t>
        </is>
      </c>
      <c r="V62" s="2" t="inlineStr">
        <is>
          <t>Healthy</t>
        </is>
      </c>
      <c r="AA62" s="2" t="inlineStr">
        <is>
          <t>Bill Direct</t>
        </is>
      </c>
    </row>
    <row r="63">
      <c r="A63" s="2" t="inlineStr">
        <is>
          <t>ANT-2025-0062</t>
        </is>
      </c>
      <c r="B63" s="2" t="inlineStr">
        <is>
          <t>2025-10-15</t>
        </is>
      </c>
      <c r="C63" s="2" t="inlineStr">
        <is>
          <t>Anthurium</t>
        </is>
      </c>
      <c r="E63" s="2" t="inlineStr">
        <is>
          <t>Wendlingerii</t>
        </is>
      </c>
      <c r="F63" s="2" t="inlineStr">
        <is>
          <t>wendlingerii × Self</t>
        </is>
      </c>
      <c r="G63" s="2" t="inlineStr">
        <is>
          <t>wendlingerii</t>
        </is>
      </c>
      <c r="I63" s="2" t="inlineStr">
        <is>
          <t>Self</t>
        </is>
      </c>
      <c r="K63" s="2" t="inlineStr">
        <is>
          <t>F1</t>
        </is>
      </c>
      <c r="N63" s="2" t="inlineStr">
        <is>
          <t>NSE</t>
        </is>
      </c>
      <c r="O63" s="2" t="n">
        <v>54</v>
      </c>
      <c r="P63" s="2" t="inlineStr">
        <is>
          <t>Seeds 10</t>
        </is>
      </c>
      <c r="V63" s="2" t="inlineStr">
        <is>
          <t>Healthy</t>
        </is>
      </c>
    </row>
    <row r="64">
      <c r="A64" t="inlineStr">
        <is>
          <t>ANT-2025-0063</t>
        </is>
      </c>
      <c r="B64" t="inlineStr">
        <is>
          <t>2025-10-15</t>
        </is>
      </c>
      <c r="C64" t="inlineStr">
        <is>
          <t>Anthurium</t>
        </is>
      </c>
      <c r="D64" t="inlineStr">
        <is>
          <t>Hybrid</t>
        </is>
      </c>
      <c r="E64" t="inlineStr">
        <is>
          <t>King of Spades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Unknown</t>
        </is>
      </c>
      <c r="M64" t="inlineStr"/>
      <c r="N64" t="inlineStr">
        <is>
          <t>Scott Cohen</t>
        </is>
      </c>
      <c r="O64" t="n">
        <v>450</v>
      </c>
      <c r="P64" t="inlineStr">
        <is>
          <t>Clone</t>
        </is>
      </c>
      <c r="Q64" t="inlineStr"/>
      <c r="R64" t="inlineStr"/>
      <c r="S64" t="inlineStr">
        <is>
          <t>Premium clone line</t>
        </is>
      </c>
      <c r="T64" t="inlineStr"/>
      <c r="U64" t="inlineStr">
        <is>
          <t>Elite genetics</t>
        </is>
      </c>
      <c r="V64" t="inlineStr">
        <is>
          <t>Healthy</t>
        </is>
      </c>
      <c r="W64" t="inlineStr"/>
      <c r="X64" t="inlineStr"/>
      <c r="Y64" t="inlineStr"/>
      <c r="Z64" t="inlineStr"/>
      <c r="AA64" t="inlineStr">
        <is>
          <t>High-value specimen</t>
        </is>
      </c>
    </row>
    <row r="65">
      <c r="A65" t="inlineStr">
        <is>
          <t>ANT-2025-0064</t>
        </is>
      </c>
      <c r="B65" t="inlineStr">
        <is>
          <t>2025-10-15</t>
        </is>
      </c>
      <c r="C65" t="inlineStr">
        <is>
          <t>Anthurium</t>
        </is>
      </c>
      <c r="D65" t="inlineStr">
        <is>
          <t>Xialophyllum</t>
        </is>
      </c>
      <c r="E65" t="inlineStr">
        <is>
          <t>Carlablackiae</t>
        </is>
      </c>
      <c r="F65" t="inlineStr">
        <is>
          <t>Carlablackiae (OG5) × Carlablackiae (RA6)</t>
        </is>
      </c>
      <c r="G65" t="inlineStr">
        <is>
          <t>Carlablackiae (OG5)</t>
        </is>
      </c>
      <c r="H65" t="inlineStr"/>
      <c r="I65" t="inlineStr">
        <is>
          <t>Carlablackiae (RA6)</t>
        </is>
      </c>
      <c r="J65" t="inlineStr"/>
      <c r="K65" t="inlineStr">
        <is>
          <t>F1</t>
        </is>
      </c>
      <c r="L65" t="inlineStr">
        <is>
          <t>Scott Cohen</t>
        </is>
      </c>
      <c r="M65" t="inlineStr">
        <is>
          <t>RA6/OG5</t>
        </is>
      </c>
      <c r="N65" t="inlineStr">
        <is>
          <t>Scott Cohen</t>
        </is>
      </c>
      <c r="O65" t="n">
        <v>400</v>
      </c>
      <c r="P65" t="inlineStr">
        <is>
          <t>Seed</t>
        </is>
      </c>
      <c r="Q65" t="inlineStr"/>
      <c r="R65" t="inlineStr">
        <is>
          <t>Critically Endangered</t>
        </is>
      </c>
      <c r="S65" t="inlineStr">
        <is>
          <t>OG5 x RA6 lineage - documented genetics</t>
        </is>
      </c>
      <c r="T65" t="inlineStr"/>
      <c r="U65" t="inlineStr">
        <is>
          <t>Conservation priority - CITES species</t>
        </is>
      </c>
      <c r="V65" t="inlineStr">
        <is>
          <t>Healthy</t>
        </is>
      </c>
      <c r="W65" t="inlineStr"/>
      <c r="X65" t="inlineStr"/>
      <c r="Y65" t="inlineStr"/>
      <c r="Z65" t="inlineStr"/>
      <c r="AA65" t="inlineStr">
        <is>
          <t>Important for conservation breeding</t>
        </is>
      </c>
    </row>
    <row r="66">
      <c r="A66" t="inlineStr">
        <is>
          <t>ANT-2025-0065</t>
        </is>
      </c>
      <c r="B66" t="inlineStr">
        <is>
          <t>2025-10-15</t>
        </is>
      </c>
      <c r="C66" t="inlineStr">
        <is>
          <t>Anthurium</t>
        </is>
      </c>
      <c r="D66" t="inlineStr">
        <is>
          <t>Cardiolonchium</t>
        </is>
      </c>
      <c r="E66" t="inlineStr">
        <is>
          <t>Papillilaminum Variegated</t>
        </is>
      </c>
      <c r="F66" t="inlineStr">
        <is>
          <t>Papillilaminum × Papillilaminum</t>
        </is>
      </c>
      <c r="G66" t="inlineStr">
        <is>
          <t>Papillilaminum</t>
        </is>
      </c>
      <c r="H66" t="inlineStr"/>
      <c r="I66" t="inlineStr">
        <is>
          <t>Papillilaminum</t>
        </is>
      </c>
      <c r="J66" t="inlineStr"/>
      <c r="K66" t="inlineStr">
        <is>
          <t>F2 Sport</t>
        </is>
      </c>
      <c r="L66" t="inlineStr">
        <is>
          <t>Eddie Pronto</t>
        </is>
      </c>
      <c r="M66" t="inlineStr">
        <is>
          <t>EPP</t>
        </is>
      </c>
      <c r="N66" t="inlineStr">
        <is>
          <t>Eddie Pronto (EPP)</t>
        </is>
      </c>
      <c r="O66" t="n">
        <v>1500</v>
      </c>
      <c r="P66" t="inlineStr">
        <is>
          <t>Seed</t>
        </is>
      </c>
      <c r="Q66" t="inlineStr"/>
      <c r="R66" t="inlineStr"/>
      <c r="S66" t="inlineStr">
        <is>
          <t>EPP exclusive variegated selection</t>
        </is>
      </c>
      <c r="T66" t="inlineStr">
        <is>
          <t>Variegation present</t>
        </is>
      </c>
      <c r="U66" t="inlineStr">
        <is>
          <t>VARIEGATED - Extremely rare</t>
        </is>
      </c>
      <c r="V66" t="inlineStr">
        <is>
          <t>Healthy</t>
        </is>
      </c>
      <c r="W66" t="inlineStr"/>
      <c r="X66" t="inlineStr"/>
      <c r="Y66" t="inlineStr"/>
      <c r="Z66" t="inlineStr"/>
      <c r="AA66" t="inlineStr">
        <is>
          <t>Top-tier genetics - $1500 investment</t>
        </is>
      </c>
    </row>
    <row r="67">
      <c r="A67" t="inlineStr">
        <is>
          <t>ANT-2025-0066</t>
        </is>
      </c>
      <c r="B67" t="inlineStr">
        <is>
          <t>2025-10-15</t>
        </is>
      </c>
      <c r="C67" t="inlineStr">
        <is>
          <t>Anthurium</t>
        </is>
      </c>
      <c r="D67" t="inlineStr">
        <is>
          <t>Hybrid</t>
        </is>
      </c>
      <c r="E67" t="inlineStr">
        <is>
          <t>King of Spades (Red Sinus)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Unknown</t>
        </is>
      </c>
      <c r="M67" t="inlineStr"/>
      <c r="N67" t="inlineStr">
        <is>
          <t>Eddie Pronto (EPP)</t>
        </is>
      </c>
      <c r="O67" t="n">
        <v>400</v>
      </c>
      <c r="P67" t="inlineStr">
        <is>
          <t>Seed</t>
        </is>
      </c>
      <c r="Q67" t="inlineStr"/>
      <c r="R67" t="inlineStr"/>
      <c r="S67" t="inlineStr">
        <is>
          <t>EPP Red Sinus selection</t>
        </is>
      </c>
      <c r="T67" t="inlineStr">
        <is>
          <t>Red petiole/sinus</t>
        </is>
      </c>
      <c r="U67" t="inlineStr">
        <is>
          <t>Red Sinus characteristic</t>
        </is>
      </c>
      <c r="V67" t="inlineStr">
        <is>
          <t>Healthy</t>
        </is>
      </c>
      <c r="W67" t="inlineStr"/>
      <c r="X67" t="inlineStr"/>
      <c r="Y67" t="inlineStr"/>
      <c r="Z67" t="inlineStr"/>
      <c r="AA67" t="inlineStr">
        <is>
          <t>Premium color form</t>
        </is>
      </c>
    </row>
    <row r="68">
      <c r="A68" t="inlineStr">
        <is>
          <t>ANT-2025-0067</t>
        </is>
      </c>
      <c r="B68" t="inlineStr">
        <is>
          <t>2025-10-15</t>
        </is>
      </c>
      <c r="C68" t="inlineStr">
        <is>
          <t>Anthurium</t>
        </is>
      </c>
      <c r="D68" t="inlineStr">
        <is>
          <t>Cardiolonchium</t>
        </is>
      </c>
      <c r="E68" t="inlineStr">
        <is>
          <t>King of Spades × Papillilaminum × Crystallinum Antioquia (Variegated)</t>
        </is>
      </c>
      <c r="F68" t="inlineStr">
        <is>
          <t>King of Spades × (Papillilaminum × Crystallinum Antioquia)</t>
        </is>
      </c>
      <c r="G68" t="inlineStr">
        <is>
          <t>King of Spades</t>
        </is>
      </c>
      <c r="H68" t="inlineStr"/>
      <c r="I68" t="inlineStr">
        <is>
          <t>Papillilaminum × Crystallinum Antioquia</t>
        </is>
      </c>
      <c r="J68" t="inlineStr"/>
      <c r="K68" t="inlineStr">
        <is>
          <t>Complex Hybrid</t>
        </is>
      </c>
      <c r="L68" t="inlineStr">
        <is>
          <t>Tezula</t>
        </is>
      </c>
      <c r="M68" t="inlineStr">
        <is>
          <t>Tezula</t>
        </is>
      </c>
      <c r="N68" t="inlineStr">
        <is>
          <t>Tezula</t>
        </is>
      </c>
      <c r="O68" t="n">
        <v>2200</v>
      </c>
      <c r="P68" t="inlineStr">
        <is>
          <t>Seed</t>
        </is>
      </c>
      <c r="Q68" t="inlineStr"/>
      <c r="R68" t="inlineStr"/>
      <c r="S68" t="inlineStr">
        <is>
          <t>Tezula variegated selection - Antioquia crystallinum genetics</t>
        </is>
      </c>
      <c r="T68" t="inlineStr">
        <is>
          <t>Variegated selection from complex cross</t>
        </is>
      </c>
      <c r="U68" t="inlineStr">
        <is>
          <t>VARIEGATED + Complex genetics + Antioquia form</t>
        </is>
      </c>
      <c r="V68" t="inlineStr">
        <is>
          <t>Healthy</t>
        </is>
      </c>
      <c r="W68" t="inlineStr"/>
      <c r="X68" t="inlineStr"/>
      <c r="Y68" t="inlineStr"/>
      <c r="Z68" t="inlineStr"/>
      <c r="AA68" t="inlineStr">
        <is>
          <t>HIGHEST VALUE - $2200 - Daryl Direct exclusive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9" customWidth="1" min="3" max="3"/>
    <col width="18" customWidth="1" min="4" max="4"/>
    <col width="28" customWidth="1" min="5" max="5"/>
    <col width="16" customWidth="1" min="6" max="6"/>
    <col width="12" customWidth="1" min="7" max="7"/>
    <col width="16" customWidth="1" min="8" max="8"/>
    <col width="18" customWidth="1" min="9" max="9"/>
    <col width="18" customWidth="1" min="10" max="10"/>
    <col width="20" customWidth="1" min="11" max="11"/>
    <col width="20" customWidth="1" min="12" max="12"/>
    <col width="13" customWidth="1" min="13" max="13"/>
    <col width="15" customWidth="1" min="14" max="14"/>
  </cols>
  <sheetData>
    <row r="1">
      <c r="A1" s="1" t="inlineStr">
        <is>
          <t>Cross_ID</t>
        </is>
      </c>
      <c r="B1" s="1" t="inlineStr">
        <is>
          <t>Cross_Date</t>
        </is>
      </c>
      <c r="C1" s="1" t="inlineStr">
        <is>
          <t>Female_Parent</t>
        </is>
      </c>
      <c r="D1" s="1" t="inlineStr">
        <is>
          <t>Female_Parent_ID</t>
        </is>
      </c>
      <c r="E1" s="1" t="inlineStr">
        <is>
          <t>Male_Parent</t>
        </is>
      </c>
      <c r="F1" s="1" t="inlineStr">
        <is>
          <t>Male_Parent_ID</t>
        </is>
      </c>
      <c r="G1" s="1" t="inlineStr">
        <is>
          <t>Cross_Type</t>
        </is>
      </c>
      <c r="H1" s="1" t="inlineStr">
        <is>
          <t>Seeds_Produced</t>
        </is>
      </c>
      <c r="I1" s="1" t="inlineStr">
        <is>
          <t>Germination_Rate</t>
        </is>
      </c>
      <c r="J1" s="1" t="inlineStr">
        <is>
          <t>F1_Plants_Raised</t>
        </is>
      </c>
      <c r="K1" s="1" t="inlineStr">
        <is>
          <t>Selection_Criteria</t>
        </is>
      </c>
      <c r="L1" s="1" t="inlineStr">
        <is>
          <t>Best_Offspring_IDs</t>
        </is>
      </c>
      <c r="M1" s="1" t="inlineStr">
        <is>
          <t>Cross_Goals</t>
        </is>
      </c>
      <c r="N1" s="1" t="inlineStr">
        <is>
          <t>Results_Notes</t>
        </is>
      </c>
    </row>
    <row r="2">
      <c r="A2" s="2" t="inlineStr">
        <is>
          <t>X-2025-0001</t>
        </is>
      </c>
      <c r="C2" s="2" t="inlineStr">
        <is>
          <t>Ace of Spades</t>
        </is>
      </c>
      <c r="E2" s="2" t="inlineStr">
        <is>
          <t>Ace of Spades</t>
        </is>
      </c>
      <c r="G2" s="2" t="inlineStr">
        <is>
          <t>Controlled</t>
        </is>
      </c>
    </row>
    <row r="3">
      <c r="A3" s="2" t="inlineStr">
        <is>
          <t>X-2025-0002</t>
        </is>
      </c>
      <c r="C3" s="2" t="inlineStr">
        <is>
          <t>Bench</t>
        </is>
      </c>
      <c r="E3" s="2" t="inlineStr">
        <is>
          <t>Bench</t>
        </is>
      </c>
      <c r="G3" s="2" t="inlineStr">
        <is>
          <t>Controlled</t>
        </is>
      </c>
    </row>
    <row r="4">
      <c r="A4" s="2" t="inlineStr">
        <is>
          <t>X-2025-0003</t>
        </is>
      </c>
      <c r="C4" s="2" t="inlineStr">
        <is>
          <t>Besseae aff</t>
        </is>
      </c>
      <c r="E4" s="2" t="inlineStr">
        <is>
          <t>Besseae aff (self)</t>
        </is>
      </c>
      <c r="G4" s="2" t="inlineStr">
        <is>
          <t>Controlled</t>
        </is>
      </c>
    </row>
    <row r="5">
      <c r="A5" s="2" t="inlineStr">
        <is>
          <t>X-2025-0004</t>
        </is>
      </c>
      <c r="C5" s="2" t="inlineStr">
        <is>
          <t>Besseae aff</t>
        </is>
      </c>
      <c r="E5" s="2" t="inlineStr">
        <is>
          <t>Ace of Spades</t>
        </is>
      </c>
      <c r="G5" s="2" t="inlineStr">
        <is>
          <t>Controlled</t>
        </is>
      </c>
    </row>
    <row r="6">
      <c r="A6" s="2" t="inlineStr">
        <is>
          <t>X-2025-0007</t>
        </is>
      </c>
      <c r="C6" s="2" t="inlineStr">
        <is>
          <t>Antolakii</t>
        </is>
      </c>
      <c r="E6" s="2" t="inlineStr">
        <is>
          <t>Antolakii</t>
        </is>
      </c>
      <c r="G6" s="2" t="inlineStr">
        <is>
          <t>Controlled</t>
        </is>
      </c>
    </row>
    <row r="7">
      <c r="A7" s="2" t="inlineStr">
        <is>
          <t>X-2025-0008</t>
        </is>
      </c>
      <c r="C7" s="2" t="inlineStr">
        <is>
          <t>Carlablackiae</t>
        </is>
      </c>
      <c r="E7" s="2" t="inlineStr">
        <is>
          <t>Antolaki (BVEP)</t>
        </is>
      </c>
      <c r="G7" s="2" t="inlineStr">
        <is>
          <t>Controlled</t>
        </is>
      </c>
    </row>
    <row r="8">
      <c r="A8" s="2" t="inlineStr">
        <is>
          <t>X-2025-0009</t>
        </is>
      </c>
      <c r="C8" s="2" t="inlineStr">
        <is>
          <t>Carlablackae</t>
        </is>
      </c>
      <c r="E8" s="2" t="inlineStr">
        <is>
          <t>Ace of Spades</t>
        </is>
      </c>
      <c r="G8" s="2" t="inlineStr">
        <is>
          <t>Controlled</t>
        </is>
      </c>
    </row>
    <row r="9">
      <c r="A9" s="2" t="inlineStr">
        <is>
          <t>X-2025-0010</t>
        </is>
      </c>
      <c r="C9" s="2" t="inlineStr">
        <is>
          <t>Crystallinum (Chocolate wu1)</t>
        </is>
      </c>
      <c r="E9" s="2" t="inlineStr">
        <is>
          <t>Luxurians (Dark)</t>
        </is>
      </c>
      <c r="G9" s="2" t="inlineStr">
        <is>
          <t>Controlled</t>
        </is>
      </c>
    </row>
    <row r="10">
      <c r="A10" s="2" t="inlineStr">
        <is>
          <t>X-2025-0011</t>
        </is>
      </c>
      <c r="C10" s="2" t="inlineStr">
        <is>
          <t>Doriaki</t>
        </is>
      </c>
      <c r="E10" s="2" t="inlineStr">
        <is>
          <t>Crystallinum</t>
        </is>
      </c>
      <c r="G10" s="2" t="inlineStr">
        <is>
          <t>Controlled</t>
        </is>
      </c>
    </row>
    <row r="11">
      <c r="A11" s="2" t="inlineStr">
        <is>
          <t>X-2025-0017</t>
        </is>
      </c>
      <c r="C11" s="2" t="inlineStr">
        <is>
          <t>Dressleri (Windy FP1)</t>
        </is>
      </c>
      <c r="E11" s="2" t="inlineStr">
        <is>
          <t>SP Nov DF</t>
        </is>
      </c>
      <c r="G11" s="2" t="inlineStr">
        <is>
          <t>Controlled</t>
        </is>
      </c>
    </row>
    <row r="12">
      <c r="A12" s="2" t="inlineStr">
        <is>
          <t>X-2025-0018</t>
        </is>
      </c>
      <c r="C12" s="2" t="inlineStr">
        <is>
          <t>Dressleri (Ree Gardens) x Open</t>
        </is>
      </c>
      <c r="E12" s="2" t="inlineStr">
        <is>
          <t>RLFS</t>
        </is>
      </c>
      <c r="G12" s="2" t="inlineStr">
        <is>
          <t>Controlled</t>
        </is>
      </c>
    </row>
    <row r="13">
      <c r="A13" s="2" t="inlineStr">
        <is>
          <t>X-2025-0019</t>
        </is>
      </c>
      <c r="C13" s="2" t="inlineStr">
        <is>
          <t>Dressleri (Windy FP1)</t>
        </is>
      </c>
      <c r="E13" s="2" t="inlineStr">
        <is>
          <t>Dressleri (Windy FP2)</t>
        </is>
      </c>
      <c r="G13" s="2" t="inlineStr">
        <is>
          <t>Controlled</t>
        </is>
      </c>
    </row>
    <row r="14">
      <c r="A14" s="2" t="inlineStr">
        <is>
          <t>X-2025-0020</t>
        </is>
      </c>
      <c r="C14" s="2" t="inlineStr">
        <is>
          <t>Dressleri Colon</t>
        </is>
      </c>
      <c r="E14" s="2" t="inlineStr">
        <is>
          <t>Dressleri Colón</t>
        </is>
      </c>
      <c r="G14" s="2" t="inlineStr">
        <is>
          <t>Controlled</t>
        </is>
      </c>
    </row>
    <row r="15">
      <c r="A15" s="2" t="inlineStr">
        <is>
          <t>X-2025-0021</t>
        </is>
      </c>
      <c r="C15" s="2" t="inlineStr">
        <is>
          <t>Dressleri Narrow (Ree Gardens)</t>
        </is>
      </c>
      <c r="E15" s="2" t="inlineStr">
        <is>
          <t>Dressleri (Windy)</t>
        </is>
      </c>
      <c r="G15" s="2" t="inlineStr">
        <is>
          <t>Controlled</t>
        </is>
      </c>
    </row>
    <row r="16">
      <c r="A16" s="2" t="inlineStr">
        <is>
          <t>X-2025-0022</t>
        </is>
      </c>
      <c r="C16" s="2" t="inlineStr">
        <is>
          <t>Dressleri</t>
        </is>
      </c>
      <c r="E16" s="2" t="inlineStr">
        <is>
          <t xml:space="preserve">Dressleri </t>
        </is>
      </c>
      <c r="G16" s="2" t="inlineStr">
        <is>
          <t>Controlled</t>
        </is>
      </c>
    </row>
    <row r="17">
      <c r="A17" s="2" t="inlineStr">
        <is>
          <t>X-2025-0023</t>
        </is>
      </c>
      <c r="C17" s="2" t="inlineStr">
        <is>
          <t>Forgettii</t>
        </is>
      </c>
      <c r="E17" s="2" t="inlineStr">
        <is>
          <t>Forgettii</t>
        </is>
      </c>
      <c r="G17" s="2" t="inlineStr">
        <is>
          <t>Controlled</t>
        </is>
      </c>
    </row>
    <row r="18">
      <c r="A18" s="2" t="inlineStr">
        <is>
          <t>X-2025-0024</t>
        </is>
      </c>
      <c r="C18" s="2" t="inlineStr">
        <is>
          <t>Fairchild FTG</t>
        </is>
      </c>
      <c r="E18" s="2" t="inlineStr">
        <is>
          <t>Fairchild FTG</t>
        </is>
      </c>
      <c r="G18" s="2" t="inlineStr">
        <is>
          <t>Controlled</t>
        </is>
      </c>
    </row>
    <row r="19">
      <c r="A19" s="2" t="inlineStr">
        <is>
          <t>X-2025-0025</t>
        </is>
      </c>
      <c r="C19" s="2" t="inlineStr">
        <is>
          <t>Ace of Spades x Antolaki (BVEP)</t>
        </is>
      </c>
      <c r="E19" s="2" t="inlineStr">
        <is>
          <t>Crystallinum (variegated)</t>
        </is>
      </c>
      <c r="G19" s="2" t="inlineStr">
        <is>
          <t>Controlled</t>
        </is>
      </c>
    </row>
    <row r="20">
      <c r="A20" s="2" t="inlineStr">
        <is>
          <t>X-2025-0026</t>
        </is>
      </c>
      <c r="C20" s="2" t="inlineStr">
        <is>
          <t>Besseae aff</t>
        </is>
      </c>
      <c r="E20" s="2" t="inlineStr">
        <is>
          <t>Brielle x Red Crystallinum</t>
        </is>
      </c>
      <c r="G20" s="2" t="inlineStr">
        <is>
          <t>Controlled</t>
        </is>
      </c>
    </row>
    <row r="21">
      <c r="A21" s="2" t="inlineStr">
        <is>
          <t>X-2025-0027</t>
        </is>
      </c>
      <c r="C21" s="2" t="inlineStr">
        <is>
          <t>Crystallinum x Magnificum</t>
        </is>
      </c>
      <c r="E21" s="2" t="inlineStr">
        <is>
          <t>Michelle</t>
        </is>
      </c>
      <c r="G21" s="2" t="inlineStr">
        <is>
          <t>Controlled</t>
        </is>
      </c>
    </row>
    <row r="22">
      <c r="A22" s="2" t="inlineStr">
        <is>
          <t>X-2025-0028</t>
        </is>
      </c>
      <c r="C22" s="2" t="inlineStr">
        <is>
          <t>Dorayaki x Red Crystallinum</t>
        </is>
      </c>
      <c r="E22" s="2" t="inlineStr">
        <is>
          <t>Papililaminum x Self</t>
        </is>
      </c>
      <c r="G22" s="2" t="inlineStr">
        <is>
          <t>Controlled</t>
        </is>
      </c>
    </row>
    <row r="23">
      <c r="A23" s="2" t="inlineStr">
        <is>
          <t>X-2025-0029</t>
        </is>
      </c>
      <c r="C23" s="2" t="inlineStr">
        <is>
          <t>Doriaki x forgetii</t>
        </is>
      </c>
      <c r="E23" s="2" t="inlineStr">
        <is>
          <t>Luxurians</t>
        </is>
      </c>
      <c r="G23" s="2" t="inlineStr">
        <is>
          <t>Controlled</t>
        </is>
      </c>
    </row>
    <row r="24">
      <c r="A24" s="2" t="inlineStr">
        <is>
          <t>X-2025-0031</t>
        </is>
      </c>
      <c r="C24" s="2" t="inlineStr">
        <is>
          <t>Papillilaminum/Magnificum</t>
        </is>
      </c>
      <c r="E24" s="2" t="inlineStr">
        <is>
          <t>Luxurians</t>
        </is>
      </c>
      <c r="G24" s="2" t="inlineStr">
        <is>
          <t>Controlled</t>
        </is>
      </c>
    </row>
    <row r="25">
      <c r="A25" s="2" t="inlineStr">
        <is>
          <t>X-2025-0032</t>
        </is>
      </c>
      <c r="C25" s="2" t="inlineStr">
        <is>
          <t>Magnificum</t>
        </is>
      </c>
      <c r="E25" s="2" t="inlineStr">
        <is>
          <t>Zara x Michelle</t>
        </is>
      </c>
      <c r="G25" s="2" t="inlineStr">
        <is>
          <t>Controlled</t>
        </is>
      </c>
    </row>
    <row r="26">
      <c r="A26" s="2" t="inlineStr">
        <is>
          <t>X-2025-0033</t>
        </is>
      </c>
      <c r="C26" s="2" t="inlineStr">
        <is>
          <t>Papillilaminum 'Soul Reaper' (Tezula)</t>
        </is>
      </c>
      <c r="E26" s="2" t="inlineStr">
        <is>
          <t>Carlablackiae</t>
        </is>
      </c>
      <c r="G26" s="2" t="inlineStr">
        <is>
          <t>Controlled</t>
        </is>
      </c>
    </row>
    <row r="27">
      <c r="A27" s="2" t="inlineStr">
        <is>
          <t>X-2025-0034</t>
        </is>
      </c>
      <c r="C27" s="2" t="inlineStr">
        <is>
          <t>Papillilaminum (Wu9)</t>
        </is>
      </c>
      <c r="E27" s="2" t="inlineStr">
        <is>
          <t>Carlablackiae (wu2)</t>
        </is>
      </c>
      <c r="G27" s="2" t="inlineStr">
        <is>
          <t>Controlled</t>
        </is>
      </c>
    </row>
    <row r="28">
      <c r="A28" s="2" t="inlineStr">
        <is>
          <t>X-2025-0035</t>
        </is>
      </c>
      <c r="C28" s="2" t="inlineStr">
        <is>
          <t>Portilleae (NSE)</t>
        </is>
      </c>
      <c r="E28" s="2" t="inlineStr">
        <is>
          <t>Dressleri (FP2)</t>
        </is>
      </c>
      <c r="G28" s="2" t="inlineStr">
        <is>
          <t>Controlled</t>
        </is>
      </c>
    </row>
    <row r="29">
      <c r="A29" s="2" t="inlineStr">
        <is>
          <t>X-2025-0036</t>
        </is>
      </c>
      <c r="C29" s="2" t="inlineStr">
        <is>
          <t>Regale</t>
        </is>
      </c>
      <c r="E29" s="2" t="inlineStr">
        <is>
          <t>Besseae aff</t>
        </is>
      </c>
      <c r="G29" s="2" t="inlineStr">
        <is>
          <t>Controlled</t>
        </is>
      </c>
    </row>
    <row r="30">
      <c r="A30" s="2" t="inlineStr">
        <is>
          <t>X-2025-0037</t>
        </is>
      </c>
      <c r="C30" s="2" t="inlineStr">
        <is>
          <t>Red Crystallinum</t>
        </is>
      </c>
      <c r="E30" s="2" t="inlineStr">
        <is>
          <t>AOS x Leland</t>
        </is>
      </c>
      <c r="G30" s="2" t="inlineStr">
        <is>
          <t>Controlled</t>
        </is>
      </c>
    </row>
    <row r="31">
      <c r="A31" s="2" t="inlineStr">
        <is>
          <t>X-2025-0038</t>
        </is>
      </c>
      <c r="C31" s="2" t="inlineStr">
        <is>
          <t>Luxurians</t>
        </is>
      </c>
      <c r="E31" s="2" t="inlineStr">
        <is>
          <t>Luxurians</t>
        </is>
      </c>
      <c r="G31" s="2" t="inlineStr">
        <is>
          <t>Controlled</t>
        </is>
      </c>
    </row>
    <row r="32">
      <c r="A32" s="2" t="inlineStr">
        <is>
          <t>X-2025-0040</t>
        </is>
      </c>
      <c r="C32" s="2" t="inlineStr">
        <is>
          <t>Michelle</t>
        </is>
      </c>
      <c r="E32" s="2" t="inlineStr">
        <is>
          <t>Michelle</t>
        </is>
      </c>
      <c r="G32" s="2" t="inlineStr">
        <is>
          <t>Controlled</t>
        </is>
      </c>
    </row>
    <row r="33">
      <c r="A33" s="2" t="inlineStr">
        <is>
          <t>X-2025-0041</t>
        </is>
      </c>
      <c r="C33" s="2" t="inlineStr">
        <is>
          <t>Michelle (MS)</t>
        </is>
      </c>
      <c r="E33" s="2" t="inlineStr">
        <is>
          <t>Michelle</t>
        </is>
      </c>
      <c r="G33" s="2" t="inlineStr">
        <is>
          <t>Controlled</t>
        </is>
      </c>
    </row>
    <row r="34">
      <c r="A34" s="2" t="inlineStr">
        <is>
          <t>X-2025-0042</t>
        </is>
      </c>
      <c r="C34" s="2" t="inlineStr">
        <is>
          <t>Michelle (MS)</t>
        </is>
      </c>
      <c r="E34" s="2" t="inlineStr">
        <is>
          <t>Michelle</t>
        </is>
      </c>
      <c r="G34" s="2" t="inlineStr">
        <is>
          <t>Controlled</t>
        </is>
      </c>
    </row>
    <row r="35">
      <c r="A35" s="2" t="inlineStr">
        <is>
          <t>X-2025-0043</t>
        </is>
      </c>
      <c r="C35" s="2" t="inlineStr">
        <is>
          <t>Portilleae (NSE)</t>
        </is>
      </c>
      <c r="E35" s="2" t="inlineStr">
        <is>
          <t>Self</t>
        </is>
      </c>
      <c r="G35" s="2" t="inlineStr">
        <is>
          <t>Controlled</t>
        </is>
      </c>
    </row>
    <row r="36">
      <c r="A36" s="2" t="inlineStr">
        <is>
          <t>X-2025-0044</t>
        </is>
      </c>
      <c r="C36" s="2" t="inlineStr">
        <is>
          <t>Red Crystallinum</t>
        </is>
      </c>
      <c r="E36" s="2" t="inlineStr">
        <is>
          <t>Luxurians</t>
        </is>
      </c>
      <c r="G36" s="2" t="inlineStr">
        <is>
          <t>Controlled</t>
        </is>
      </c>
    </row>
    <row r="37">
      <c r="A37" s="2" t="inlineStr">
        <is>
          <t>X-2025-0045</t>
        </is>
      </c>
      <c r="C37" s="2" t="inlineStr">
        <is>
          <t>Pallidiflorum</t>
        </is>
      </c>
      <c r="E37" s="2" t="inlineStr">
        <is>
          <t>Pallidiforum</t>
        </is>
      </c>
      <c r="G37" s="2" t="inlineStr">
        <is>
          <t>Controlled</t>
        </is>
      </c>
    </row>
    <row r="38">
      <c r="A38" s="2" t="inlineStr">
        <is>
          <t>X-2025-0047</t>
        </is>
      </c>
      <c r="C38" s="2" t="inlineStr">
        <is>
          <t>Papillilaminum</t>
        </is>
      </c>
      <c r="E38" s="2" t="inlineStr">
        <is>
          <t>Papililaminum Red Stem</t>
        </is>
      </c>
      <c r="G38" s="2" t="inlineStr">
        <is>
          <t>Controlled</t>
        </is>
      </c>
    </row>
    <row r="39">
      <c r="A39" s="2" t="inlineStr">
        <is>
          <t>X-2025-0048</t>
        </is>
      </c>
      <c r="C39" s="2" t="inlineStr">
        <is>
          <t>Papillilaminum (RA8)</t>
        </is>
      </c>
      <c r="E39" s="2" t="inlineStr">
        <is>
          <t>Self</t>
        </is>
      </c>
      <c r="G39" s="2" t="inlineStr">
        <is>
          <t>Controlled</t>
        </is>
      </c>
    </row>
    <row r="40">
      <c r="A40" s="2" t="inlineStr">
        <is>
          <t>X-2025-0049</t>
        </is>
      </c>
      <c r="C40" s="2" t="inlineStr">
        <is>
          <t>Papillilaminum (RA 8x5)</t>
        </is>
      </c>
      <c r="E40" s="2" t="inlineStr">
        <is>
          <t>Papillilaminum (RA 8x5)</t>
        </is>
      </c>
      <c r="G40" s="2" t="inlineStr">
        <is>
          <t>Controlled</t>
        </is>
      </c>
    </row>
    <row r="41">
      <c r="A41" s="2" t="inlineStr">
        <is>
          <t>X-2025-0051</t>
        </is>
      </c>
      <c r="C41" s="2" t="inlineStr">
        <is>
          <t>Radicans</t>
        </is>
      </c>
      <c r="E41" s="2" t="inlineStr">
        <is>
          <t>Luxurians</t>
        </is>
      </c>
      <c r="G41" s="2" t="inlineStr">
        <is>
          <t>Controlled</t>
        </is>
      </c>
    </row>
    <row r="42">
      <c r="A42" s="2" t="inlineStr">
        <is>
          <t>X-2025-0055</t>
        </is>
      </c>
      <c r="C42" s="2" t="inlineStr">
        <is>
          <t>SKG Silver</t>
        </is>
      </c>
      <c r="E42" s="2" t="inlineStr">
        <is>
          <t>SKG Silver</t>
        </is>
      </c>
      <c r="G42" s="2" t="inlineStr">
        <is>
          <t>Controlled</t>
        </is>
      </c>
    </row>
    <row r="43">
      <c r="A43" s="2" t="inlineStr">
        <is>
          <t>X-2025-0057</t>
        </is>
      </c>
      <c r="C43" s="2" t="inlineStr">
        <is>
          <t>Purple Crystallinum (Tezula)</t>
        </is>
      </c>
      <c r="E43" s="2" t="inlineStr">
        <is>
          <t>Red Crystallinum (Tezula)</t>
        </is>
      </c>
      <c r="G43" s="2" t="inlineStr">
        <is>
          <t>Controlled</t>
        </is>
      </c>
    </row>
    <row r="44">
      <c r="A44" s="2" t="inlineStr">
        <is>
          <t>X-2025-0058</t>
        </is>
      </c>
      <c r="C44" s="2" t="inlineStr">
        <is>
          <t>Red Crystallinum</t>
        </is>
      </c>
      <c r="E44" s="2" t="inlineStr">
        <is>
          <t>Red Crystallinum</t>
        </is>
      </c>
      <c r="G44" s="2" t="inlineStr">
        <is>
          <t>Controlled</t>
        </is>
      </c>
    </row>
    <row r="45">
      <c r="A45" s="2" t="inlineStr">
        <is>
          <t>X-2025-0059</t>
        </is>
      </c>
      <c r="C45" s="2" t="inlineStr">
        <is>
          <t xml:space="preserve">Red Crystal </t>
        </is>
      </c>
      <c r="E45" s="2" t="inlineStr">
        <is>
          <t>Self</t>
        </is>
      </c>
      <c r="G45" s="2" t="inlineStr">
        <is>
          <t>Controlled</t>
        </is>
      </c>
    </row>
    <row r="46">
      <c r="A46" s="2" t="inlineStr">
        <is>
          <t>X-2025-0061</t>
        </is>
      </c>
      <c r="C46" s="2" t="inlineStr">
        <is>
          <t>Warocuonum</t>
        </is>
      </c>
      <c r="E46" s="2" t="inlineStr">
        <is>
          <t>Reugolosum</t>
        </is>
      </c>
      <c r="G46" s="2" t="inlineStr">
        <is>
          <t>Controlled</t>
        </is>
      </c>
    </row>
    <row r="47">
      <c r="A47" s="2" t="inlineStr">
        <is>
          <t>X-2025-0062</t>
        </is>
      </c>
      <c r="C47" s="2" t="inlineStr">
        <is>
          <t>wendlingerii</t>
        </is>
      </c>
      <c r="E47" s="2" t="inlineStr">
        <is>
          <t>Self</t>
        </is>
      </c>
      <c r="G47" s="2" t="inlineStr">
        <is>
          <t>Controlled</t>
        </is>
      </c>
    </row>
    <row r="48">
      <c r="A48" t="inlineStr">
        <is>
          <t>X-2025-0047</t>
        </is>
      </c>
      <c r="B48" t="inlineStr"/>
      <c r="C48" t="inlineStr">
        <is>
          <t>Carlablackiae (OG5)</t>
        </is>
      </c>
      <c r="D48" t="inlineStr">
        <is>
          <t>ANT-2025-0064</t>
        </is>
      </c>
      <c r="E48" t="inlineStr">
        <is>
          <t>Carlablackiae (RA6)</t>
        </is>
      </c>
      <c r="F48" t="inlineStr"/>
      <c r="G48" t="inlineStr">
        <is>
          <t>Controlled</t>
        </is>
      </c>
      <c r="H48" t="inlineStr"/>
      <c r="I48" t="inlineStr"/>
      <c r="J48" t="inlineStr"/>
      <c r="K48" t="inlineStr">
        <is>
          <t>Conservation, leaf size</t>
        </is>
      </c>
      <c r="L48" t="inlineStr"/>
      <c r="M48" t="inlineStr">
        <is>
          <t>Preserve pure carlablackiae genetics</t>
        </is>
      </c>
      <c r="N48" t="inlineStr">
        <is>
          <t>Scott Cohen breeding - premium genetics</t>
        </is>
      </c>
    </row>
    <row r="49">
      <c r="A49" t="inlineStr">
        <is>
          <t>X-2025-0048</t>
        </is>
      </c>
      <c r="B49" t="inlineStr"/>
      <c r="C49" t="inlineStr">
        <is>
          <t>King of Spades</t>
        </is>
      </c>
      <c r="D49" t="inlineStr">
        <is>
          <t>ANT-2025-0067</t>
        </is>
      </c>
      <c r="E49" t="inlineStr">
        <is>
          <t>Papillilaminum × Crystallinum Antioquia</t>
        </is>
      </c>
      <c r="F49" t="inlineStr"/>
      <c r="G49" t="inlineStr">
        <is>
          <t>Controlled</t>
        </is>
      </c>
      <c r="H49" t="inlineStr"/>
      <c r="I49" t="inlineStr"/>
      <c r="J49" t="inlineStr">
        <is>
          <t>1</t>
        </is>
      </c>
      <c r="K49" t="inlineStr">
        <is>
          <t>Variegation stability</t>
        </is>
      </c>
      <c r="L49" t="inlineStr">
        <is>
          <t>ANT-2025-0067</t>
        </is>
      </c>
      <c r="M49" t="inlineStr">
        <is>
          <t>Combine elite genetics with variegation</t>
        </is>
      </c>
      <c r="N49" t="inlineStr">
        <is>
          <t>Tezula breeding - $2200 variegated selection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31" customWidth="1" min="5" max="5"/>
  </cols>
  <sheetData>
    <row r="1">
      <c r="A1" s="1" t="inlineStr">
        <is>
          <t>Species</t>
        </is>
      </c>
      <c r="B1" s="1" t="inlineStr">
        <is>
          <t>Section</t>
        </is>
      </c>
      <c r="C1" s="1" t="inlineStr">
        <is>
          <t>Conservation_Status</t>
        </is>
      </c>
      <c r="D1" s="1" t="inlineStr">
        <is>
          <t>Native_Range</t>
        </is>
      </c>
      <c r="E1" s="1" t="inlineStr">
        <is>
          <t>Key_Traits</t>
        </is>
      </c>
    </row>
    <row r="2">
      <c r="A2" s="2" t="inlineStr">
        <is>
          <t>crystallinum</t>
        </is>
      </c>
      <c r="B2" s="2" t="inlineStr">
        <is>
          <t>Cardiolonchium</t>
        </is>
      </c>
      <c r="C2" s="2" t="inlineStr">
        <is>
          <t>Least Concern</t>
        </is>
      </c>
      <c r="D2" s="2" t="inlineStr">
        <is>
          <t>Colombia, Panama</t>
        </is>
      </c>
      <c r="E2" s="2" t="inlineStr">
        <is>
          <t>Crystalline veination, Silver</t>
        </is>
      </c>
    </row>
    <row r="3">
      <c r="A3" s="2" t="inlineStr">
        <is>
          <t>magnificum</t>
        </is>
      </c>
      <c r="B3" s="2" t="inlineStr">
        <is>
          <t>Cardiolonchium</t>
        </is>
      </c>
      <c r="C3" s="2" t="inlineStr">
        <is>
          <t>Vulnerable</t>
        </is>
      </c>
      <c r="D3" s="2" t="inlineStr">
        <is>
          <t>Colombia</t>
        </is>
      </c>
      <c r="E3" s="2" t="inlineStr">
        <is>
          <t>Large velvety leaves</t>
        </is>
      </c>
    </row>
    <row r="4">
      <c r="A4" s="2" t="inlineStr">
        <is>
          <t>warocqueanum</t>
        </is>
      </c>
      <c r="B4" s="2" t="inlineStr">
        <is>
          <t>Pachyneurium</t>
        </is>
      </c>
      <c r="C4" s="2" t="inlineStr">
        <is>
          <t>Endangered</t>
        </is>
      </c>
      <c r="D4" s="2" t="inlineStr">
        <is>
          <t>Colombia</t>
        </is>
      </c>
      <c r="E4" s="2" t="inlineStr">
        <is>
          <t>Long pendant leaves</t>
        </is>
      </c>
    </row>
    <row r="5">
      <c r="A5" s="2" t="inlineStr">
        <is>
          <t>veitchii</t>
        </is>
      </c>
      <c r="B5" s="2" t="inlineStr">
        <is>
          <t>Calomystrium</t>
        </is>
      </c>
      <c r="C5" s="2" t="inlineStr">
        <is>
          <t>Vulnerable</t>
        </is>
      </c>
      <c r="D5" s="2" t="inlineStr">
        <is>
          <t>Ecuador, Peru</t>
        </is>
      </c>
      <c r="E5" s="2" t="inlineStr">
        <is>
          <t>Corrugated leaves</t>
        </is>
      </c>
    </row>
    <row r="6">
      <c r="A6" s="2" t="inlineStr">
        <is>
          <t>regale</t>
        </is>
      </c>
      <c r="B6" s="2" t="inlineStr">
        <is>
          <t>Calomystrium</t>
        </is>
      </c>
      <c r="C6" s="2" t="inlineStr">
        <is>
          <t>Endangered</t>
        </is>
      </c>
      <c r="D6" s="2" t="inlineStr">
        <is>
          <t>Ecuador, Peru</t>
        </is>
      </c>
      <c r="E6" s="2" t="inlineStr">
        <is>
          <t>Giant veined leaves</t>
        </is>
      </c>
    </row>
    <row r="7">
      <c r="A7" s="2" t="inlineStr">
        <is>
          <t>papillilaminum</t>
        </is>
      </c>
      <c r="B7" s="2" t="inlineStr">
        <is>
          <t>Cardiolonchium</t>
        </is>
      </c>
      <c r="C7" s="2" t="inlineStr">
        <is>
          <t>Data Deficient</t>
        </is>
      </c>
      <c r="D7" s="2" t="inlineStr">
        <is>
          <t>Panama</t>
        </is>
      </c>
      <c r="E7" s="2" t="inlineStr">
        <is>
          <t>Papillate surface</t>
        </is>
      </c>
    </row>
    <row r="8">
      <c r="A8" s="2" t="inlineStr">
        <is>
          <t>carlablackiae</t>
        </is>
      </c>
      <c r="B8" s="2" t="inlineStr">
        <is>
          <t>Xialophyllum</t>
        </is>
      </c>
      <c r="C8" s="2" t="inlineStr">
        <is>
          <t>Critically Endangered</t>
        </is>
      </c>
      <c r="D8" s="2" t="inlineStr">
        <is>
          <t>Colombia</t>
        </is>
      </c>
      <c r="E8" s="2" t="inlineStr">
        <is>
          <t>Black spathe, Large</t>
        </is>
      </c>
    </row>
    <row r="9">
      <c r="A9" s="2" t="inlineStr">
        <is>
          <t>dressleri</t>
        </is>
      </c>
      <c r="B9" s="2" t="inlineStr">
        <is>
          <t>Porphyrochitonium</t>
        </is>
      </c>
      <c r="C9" s="2" t="inlineStr">
        <is>
          <t>Vulnerable</t>
        </is>
      </c>
      <c r="D9" s="2" t="inlineStr">
        <is>
          <t>Costa Rica, Panama</t>
        </is>
      </c>
      <c r="E9" s="2" t="inlineStr">
        <is>
          <t>Thick coriaceous</t>
        </is>
      </c>
    </row>
    <row r="10">
      <c r="A10" s="2" t="inlineStr">
        <is>
          <t>luxurians</t>
        </is>
      </c>
      <c r="B10" s="2" t="inlineStr">
        <is>
          <t>Xialophyllium</t>
        </is>
      </c>
      <c r="C10" s="2" t="inlineStr">
        <is>
          <t>Near Threatened</t>
        </is>
      </c>
      <c r="D10" s="2" t="inlineStr">
        <is>
          <t>Ecuador</t>
        </is>
      </c>
      <c r="E10" s="2" t="inlineStr">
        <is>
          <t>Small bird nest form</t>
        </is>
      </c>
    </row>
    <row r="11">
      <c r="A11" s="2" t="inlineStr">
        <is>
          <t>besseae</t>
        </is>
      </c>
      <c r="B11" s="2" t="inlineStr">
        <is>
          <t>Cardiolonchium</t>
        </is>
      </c>
      <c r="C11" s="2" t="inlineStr">
        <is>
          <t>Data Deficient</t>
        </is>
      </c>
      <c r="D11" s="2" t="inlineStr">
        <is>
          <t>Ecuador</t>
        </is>
      </c>
      <c r="E11" s="2" t="inlineStr">
        <is>
          <t>Orange-red berries</t>
        </is>
      </c>
    </row>
    <row r="12">
      <c r="A12" s="2" t="inlineStr">
        <is>
          <t>forgetii</t>
        </is>
      </c>
      <c r="B12" s="2" t="inlineStr">
        <is>
          <t>Cardiolonchium</t>
        </is>
      </c>
      <c r="C12" s="2" t="inlineStr">
        <is>
          <t>Least Concern</t>
        </is>
      </c>
      <c r="D12" s="2" t="inlineStr">
        <is>
          <t>Colombia</t>
        </is>
      </c>
      <c r="E12" s="2" t="inlineStr">
        <is>
          <t>Round leaves, Small</t>
        </is>
      </c>
    </row>
    <row r="13">
      <c r="A13" s="2" t="inlineStr">
        <is>
          <t>vittarifolium</t>
        </is>
      </c>
      <c r="B13" s="2" t="inlineStr">
        <is>
          <t>Xialophyllium</t>
        </is>
      </c>
      <c r="C13" s="2" t="inlineStr">
        <is>
          <t>Least Concern</t>
        </is>
      </c>
      <c r="D13" s="2" t="inlineStr">
        <is>
          <t>Costa Rica to Colombia</t>
        </is>
      </c>
      <c r="E13" s="2" t="inlineStr">
        <is>
          <t>Strap leaves</t>
        </is>
      </c>
    </row>
    <row r="14">
      <c r="A14" s="2" t="inlineStr">
        <is>
          <t>pallidiflorum</t>
        </is>
      </c>
      <c r="B14" s="2" t="inlineStr">
        <is>
          <t>Porphyrochitonium</t>
        </is>
      </c>
      <c r="C14" s="2" t="inlineStr">
        <is>
          <t>Least Concern</t>
        </is>
      </c>
      <c r="D14" s="2" t="inlineStr">
        <is>
          <t>Ecuador, Peru</t>
        </is>
      </c>
      <c r="E14" s="2" t="inlineStr">
        <is>
          <t>Strap leaves, Pendant</t>
        </is>
      </c>
    </row>
    <row r="15">
      <c r="A15" s="2" t="inlineStr">
        <is>
          <t>wendlingeri</t>
        </is>
      </c>
      <c r="B15" s="2" t="inlineStr">
        <is>
          <t>Porphyrochitonium</t>
        </is>
      </c>
      <c r="C15" s="2" t="inlineStr">
        <is>
          <t>Data Deficient</t>
        </is>
      </c>
      <c r="D15" s="2" t="inlineStr">
        <is>
          <t>Costa Rica to Ecuador</t>
        </is>
      </c>
      <c r="E15" s="2" t="inlineStr">
        <is>
          <t>Corkscrew spadix</t>
        </is>
      </c>
    </row>
    <row r="16">
      <c r="A16" s="2" t="inlineStr">
        <is>
          <t>radicans</t>
        </is>
      </c>
      <c r="B16" s="2" t="inlineStr">
        <is>
          <t>Porphyrochitonium</t>
        </is>
      </c>
      <c r="C16" s="2" t="inlineStr">
        <is>
          <t>Least Concern</t>
        </is>
      </c>
      <c r="D16" s="2" t="inlineStr">
        <is>
          <t>Mexico to Nicaragua</t>
        </is>
      </c>
      <c r="E16" s="2" t="inlineStr">
        <is>
          <t>Bird nest 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1" customWidth="1" min="3" max="3"/>
    <col width="14" customWidth="1" min="4" max="4"/>
    <col width="34" customWidth="1" min="5" max="5"/>
  </cols>
  <sheetData>
    <row r="1">
      <c r="A1" s="1" t="inlineStr">
        <is>
          <t>Trait_Category</t>
        </is>
      </c>
      <c r="B1" s="1" t="inlineStr">
        <is>
          <t>Trait</t>
        </is>
      </c>
      <c r="C1" s="1" t="inlineStr">
        <is>
          <t>Inheritance_Pattern</t>
        </is>
      </c>
      <c r="D1" s="1" t="inlineStr">
        <is>
          <t>Desirability</t>
        </is>
      </c>
      <c r="E1" s="1" t="inlineStr">
        <is>
          <t>Notes</t>
        </is>
      </c>
    </row>
    <row r="2">
      <c r="A2" s="2" t="inlineStr">
        <is>
          <t>Leaf Texture</t>
        </is>
      </c>
      <c r="B2" s="2" t="inlineStr">
        <is>
          <t>Velvety</t>
        </is>
      </c>
      <c r="C2" s="2" t="inlineStr">
        <is>
          <t>Dominant</t>
        </is>
      </c>
      <c r="D2" s="2" t="inlineStr">
        <is>
          <t>High</t>
        </is>
      </c>
    </row>
    <row r="3">
      <c r="A3" s="2" t="inlineStr">
        <is>
          <t>Leaf Texture</t>
        </is>
      </c>
      <c r="B3" s="2" t="inlineStr">
        <is>
          <t>Crystalline</t>
        </is>
      </c>
      <c r="C3" s="2" t="inlineStr">
        <is>
          <t>Recessive</t>
        </is>
      </c>
      <c r="D3" s="2" t="inlineStr">
        <is>
          <t>Very High</t>
        </is>
      </c>
    </row>
    <row r="4">
      <c r="A4" s="2" t="inlineStr">
        <is>
          <t>Leaf Texture</t>
        </is>
      </c>
      <c r="B4" s="2" t="inlineStr">
        <is>
          <t>Papillate</t>
        </is>
      </c>
      <c r="C4" s="2" t="inlineStr">
        <is>
          <t>Dominant</t>
        </is>
      </c>
      <c r="D4" s="2" t="inlineStr">
        <is>
          <t>High</t>
        </is>
      </c>
      <c r="E4" s="2" t="inlineStr">
        <is>
          <t>Unique to papillilaminum complex</t>
        </is>
      </c>
    </row>
    <row r="5">
      <c r="A5" s="2" t="inlineStr">
        <is>
          <t>Veination</t>
        </is>
      </c>
      <c r="B5" s="2" t="inlineStr">
        <is>
          <t>Prominent</t>
        </is>
      </c>
      <c r="C5" s="2" t="inlineStr">
        <is>
          <t>Codominant</t>
        </is>
      </c>
      <c r="D5" s="2" t="inlineStr">
        <is>
          <t>High</t>
        </is>
      </c>
    </row>
    <row r="6">
      <c r="A6" s="2" t="inlineStr">
        <is>
          <t>Veination</t>
        </is>
      </c>
      <c r="B6" s="2" t="inlineStr">
        <is>
          <t>Silver</t>
        </is>
      </c>
      <c r="C6" s="2" t="inlineStr">
        <is>
          <t>Recessive</t>
        </is>
      </c>
      <c r="D6" s="2" t="inlineStr">
        <is>
          <t>Very High</t>
        </is>
      </c>
      <c r="E6" s="2" t="inlineStr">
        <is>
          <t>crystallinum trait</t>
        </is>
      </c>
    </row>
    <row r="7">
      <c r="A7" s="2" t="inlineStr">
        <is>
          <t>Veination</t>
        </is>
      </c>
      <c r="B7" s="2" t="inlineStr">
        <is>
          <t>Reticulated</t>
        </is>
      </c>
      <c r="C7" s="2" t="inlineStr">
        <is>
          <t>Dominant</t>
        </is>
      </c>
      <c r="D7" s="2" t="inlineStr">
        <is>
          <t>Medium</t>
        </is>
      </c>
    </row>
    <row r="8">
      <c r="A8" s="2" t="inlineStr">
        <is>
          <t>Color</t>
        </is>
      </c>
      <c r="B8" s="2" t="inlineStr">
        <is>
          <t>Dark Form</t>
        </is>
      </c>
      <c r="C8" s="2" t="inlineStr">
        <is>
          <t>Complex</t>
        </is>
      </c>
      <c r="D8" s="2" t="inlineStr">
        <is>
          <t>Very High</t>
        </is>
      </c>
      <c r="E8" s="2" t="inlineStr">
        <is>
          <t>Market premium</t>
        </is>
      </c>
    </row>
    <row r="9">
      <c r="A9" s="2" t="inlineStr">
        <is>
          <t>Color</t>
        </is>
      </c>
      <c r="B9" s="2" t="inlineStr">
        <is>
          <t>Red Emergent</t>
        </is>
      </c>
      <c r="C9" s="2" t="inlineStr">
        <is>
          <t>Dominant</t>
        </is>
      </c>
      <c r="D9" s="2" t="inlineStr">
        <is>
          <t>High</t>
        </is>
      </c>
      <c r="E9" s="2" t="inlineStr">
        <is>
          <t>Juvenile trait sometimes</t>
        </is>
      </c>
    </row>
    <row r="10">
      <c r="A10" s="2" t="inlineStr">
        <is>
          <t>Color</t>
        </is>
      </c>
      <c r="B10" s="2" t="inlineStr">
        <is>
          <t>Variegated</t>
        </is>
      </c>
      <c r="C10" s="2" t="inlineStr">
        <is>
          <t>Chimeral</t>
        </is>
      </c>
      <c r="D10" s="2" t="inlineStr">
        <is>
          <t>Very High</t>
        </is>
      </c>
      <c r="E10" s="2" t="inlineStr">
        <is>
          <t>Unstable, tissue culture</t>
        </is>
      </c>
    </row>
    <row r="11">
      <c r="A11" s="2" t="inlineStr">
        <is>
          <t>Size</t>
        </is>
      </c>
      <c r="B11" s="2" t="inlineStr">
        <is>
          <t>Dwarf</t>
        </is>
      </c>
      <c r="C11" s="2" t="inlineStr">
        <is>
          <t>Polygenic</t>
        </is>
      </c>
      <c r="D11" s="2" t="inlineStr">
        <is>
          <t>Medium</t>
        </is>
      </c>
    </row>
    <row r="12">
      <c r="A12" s="2" t="inlineStr">
        <is>
          <t>Size</t>
        </is>
      </c>
      <c r="B12" s="2" t="inlineStr">
        <is>
          <t>Giant</t>
        </is>
      </c>
      <c r="C12" s="2" t="inlineStr">
        <is>
          <t>Polygenic</t>
        </is>
      </c>
      <c r="D12" s="2" t="inlineStr">
        <is>
          <t>High</t>
        </is>
      </c>
    </row>
    <row r="13">
      <c r="A13" s="2" t="inlineStr">
        <is>
          <t>Growth Habit</t>
        </is>
      </c>
      <c r="B13" s="2" t="inlineStr">
        <is>
          <t>Pendant</t>
        </is>
      </c>
      <c r="C13" s="2" t="inlineStr">
        <is>
          <t>Dominant</t>
        </is>
      </c>
      <c r="D13" s="2" t="inlineStr">
        <is>
          <t>Medium</t>
        </is>
      </c>
      <c r="E13" s="2" t="inlineStr">
        <is>
          <t>Storage consideration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8" customWidth="1" min="4" max="4"/>
    <col width="13" customWidth="1" min="5" max="5"/>
    <col width="14" customWidth="1" min="6" max="6"/>
    <col width="7" customWidth="1" min="7" max="7"/>
  </cols>
  <sheetData>
    <row r="1">
      <c r="A1" s="1" t="inlineStr">
        <is>
          <t>Vendor_Name</t>
        </is>
      </c>
      <c r="B1" s="1" t="inlineStr">
        <is>
          <t>Vendor_Type</t>
        </is>
      </c>
      <c r="C1" s="1" t="inlineStr">
        <is>
          <t>Location</t>
        </is>
      </c>
      <c r="D1" s="1" t="inlineStr">
        <is>
          <t>Reputation_Score</t>
        </is>
      </c>
      <c r="E1" s="1" t="inlineStr">
        <is>
          <t>Specialties</t>
        </is>
      </c>
      <c r="F1" s="1" t="inlineStr">
        <is>
          <t>Contact_Info</t>
        </is>
      </c>
      <c r="G1" s="1" t="inlineStr">
        <is>
          <t>Notes</t>
        </is>
      </c>
    </row>
    <row r="2">
      <c r="A2" s="2" t="inlineStr">
        <is>
          <t>Tezula</t>
        </is>
      </c>
      <c r="B2" s="2" t="inlineStr">
        <is>
          <t>Grower</t>
        </is>
      </c>
      <c r="D2" s="2" t="n">
        <v>8</v>
      </c>
    </row>
    <row r="3">
      <c r="A3" s="2" t="inlineStr">
        <is>
          <t>Fontanimal</t>
        </is>
      </c>
      <c r="B3" s="2" t="inlineStr">
        <is>
          <t>Grower</t>
        </is>
      </c>
      <c r="D3" s="2" t="n">
        <v>8</v>
      </c>
    </row>
    <row r="4">
      <c r="A4" s="2" t="inlineStr">
        <is>
          <t>Wuhoo Tropicals</t>
        </is>
      </c>
      <c r="B4" s="2" t="inlineStr">
        <is>
          <t>Grower</t>
        </is>
      </c>
      <c r="D4" s="2" t="n">
        <v>8</v>
      </c>
    </row>
    <row r="5">
      <c r="A5" s="2" t="inlineStr">
        <is>
          <t>NSE</t>
        </is>
      </c>
      <c r="B5" s="2" t="inlineStr">
        <is>
          <t>Grower</t>
        </is>
      </c>
      <c r="D5" s="2" t="n">
        <v>8</v>
      </c>
    </row>
    <row r="6">
      <c r="A6" s="2" t="inlineStr">
        <is>
          <t>Dandi</t>
        </is>
      </c>
      <c r="B6" s="2" t="inlineStr">
        <is>
          <t>Grower</t>
        </is>
      </c>
      <c r="D6" s="2" t="n">
        <v>8</v>
      </c>
    </row>
    <row r="7">
      <c r="A7" s="2" t="inlineStr">
        <is>
          <t>Sunset Plants</t>
        </is>
      </c>
      <c r="B7" s="2" t="inlineStr">
        <is>
          <t>Grower</t>
        </is>
      </c>
      <c r="D7" s="2" t="n">
        <v>8</v>
      </c>
    </row>
    <row r="8">
      <c r="A8" s="2" t="inlineStr">
        <is>
          <t>Auroras Garden Supply</t>
        </is>
      </c>
      <c r="B8" s="2" t="inlineStr">
        <is>
          <t>Grower</t>
        </is>
      </c>
      <c r="D8" s="2" t="n">
        <v>8</v>
      </c>
    </row>
    <row r="9">
      <c r="A9" s="2" t="inlineStr">
        <is>
          <t>RareNakedPlants</t>
        </is>
      </c>
      <c r="B9" s="2" t="inlineStr">
        <is>
          <t>Grower</t>
        </is>
      </c>
      <c r="D9" s="2" t="n">
        <v>8</v>
      </c>
    </row>
    <row r="10">
      <c r="A10" s="2" t="inlineStr">
        <is>
          <t>USAmazonPlants</t>
        </is>
      </c>
      <c r="B10" s="2" t="inlineStr">
        <is>
          <t>Grower</t>
        </is>
      </c>
      <c r="D10" s="2" t="n">
        <v>8</v>
      </c>
    </row>
    <row r="11">
      <c r="A11" s="2" t="inlineStr">
        <is>
          <t>Doc Block</t>
        </is>
      </c>
      <c r="B11" s="2" t="inlineStr">
        <is>
          <t>Grower</t>
        </is>
      </c>
      <c r="D11" s="2" t="n">
        <v>8</v>
      </c>
    </row>
    <row r="12">
      <c r="A12" s="2" t="inlineStr">
        <is>
          <t>SKG</t>
        </is>
      </c>
      <c r="B12" s="2" t="inlineStr">
        <is>
          <t>Grower</t>
        </is>
      </c>
      <c r="D12" s="2" t="n">
        <v>8</v>
      </c>
    </row>
    <row r="13">
      <c r="A13" t="inlineStr">
        <is>
          <t>Scott Cohen</t>
        </is>
      </c>
      <c r="B13" t="inlineStr">
        <is>
          <t>Elite Breeder/Collector</t>
        </is>
      </c>
      <c r="C13" t="inlineStr">
        <is>
          <t>USA</t>
        </is>
      </c>
      <c r="D13" t="n">
        <v>10</v>
      </c>
      <c r="E13" t="inlineStr">
        <is>
          <t>Rare species, King of Spades, Carlablackiae</t>
        </is>
      </c>
      <c r="F13" t="inlineStr"/>
      <c r="G13" t="inlineStr">
        <is>
          <t>Top-tier genetics, conservation focus</t>
        </is>
      </c>
    </row>
    <row r="14">
      <c r="A14" t="inlineStr">
        <is>
          <t>Eddie Pronto (EPP)</t>
        </is>
      </c>
      <c r="B14" t="inlineStr">
        <is>
          <t>Elite Breeder</t>
        </is>
      </c>
      <c r="C14" t="inlineStr">
        <is>
          <t>USA</t>
        </is>
      </c>
      <c r="D14" t="n">
        <v>10</v>
      </c>
      <c r="E14" t="inlineStr">
        <is>
          <t>Variegated selections, premium hybrids</t>
        </is>
      </c>
      <c r="F14" t="inlineStr"/>
      <c r="G14" t="inlineStr">
        <is>
          <t>EPP branded genetics, variegated specialist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9" customWidth="1" min="4" max="4"/>
    <col width="17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Plant_ID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Next_Action_Due</t>
        </is>
      </c>
      <c r="F1" s="1" t="inlineStr">
        <is>
          <t>Performed_By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Collection Statistics</t>
        </is>
      </c>
      <c r="B1" t="inlineStr"/>
    </row>
    <row r="2">
      <c r="A2" t="inlineStr"/>
      <c r="B2" t="inlineStr"/>
    </row>
    <row r="3">
      <c r="A3" t="inlineStr">
        <is>
          <t>Total Plants:</t>
        </is>
      </c>
      <c r="B3">
        <f>COUNTA(Collection_Database!A:A)-1</f>
        <v/>
      </c>
    </row>
    <row r="4">
      <c r="A4" t="inlineStr">
        <is>
          <t>Total Investment:</t>
        </is>
      </c>
      <c r="B4">
        <f>SUM(Collection_Database!N:N)</f>
        <v/>
      </c>
    </row>
    <row r="5">
      <c r="A5" t="inlineStr">
        <is>
          <t>Average Cost:</t>
        </is>
      </c>
      <c r="B5">
        <f>AVERAGE(Collection_Database!N:N)</f>
        <v/>
      </c>
    </row>
    <row r="6">
      <c r="A6" t="inlineStr"/>
      <c r="B6" t="inlineStr"/>
    </row>
    <row r="7">
      <c r="A7" s="4" t="inlineStr">
        <is>
          <t>High-Value Plants (&gt;$1000):</t>
        </is>
      </c>
      <c r="B7" t="inlineStr"/>
    </row>
    <row r="8">
      <c r="A8" t="inlineStr">
        <is>
          <t>Count:</t>
        </is>
      </c>
      <c r="B8">
        <f>COUNTIF(Collection_Database!N:N,"&gt;1000")</f>
        <v/>
      </c>
    </row>
    <row r="9">
      <c r="A9" t="inlineStr">
        <is>
          <t>Total Value:</t>
        </is>
      </c>
      <c r="B9">
        <f>SUMIF(Collection_Database!N:N,"&gt;1000")</f>
        <v/>
      </c>
    </row>
    <row r="10">
      <c r="A10" t="inlineStr"/>
      <c r="B10" t="inlineStr"/>
    </row>
    <row r="11">
      <c r="A11" t="inlineStr">
        <is>
          <t>By Propagation Type:</t>
        </is>
      </c>
      <c r="B11" t="inlineStr"/>
    </row>
    <row r="12">
      <c r="A12" s="4" t="inlineStr">
        <is>
          <t>Seeds:</t>
        </is>
      </c>
      <c r="B12">
        <f>COUNTIF(Collection_Database!O:O,"*seed*")</f>
        <v/>
      </c>
    </row>
    <row r="13">
      <c r="A13" t="inlineStr">
        <is>
          <t>Tissue Culture:</t>
        </is>
      </c>
      <c r="B13">
        <f>COUNTIF(Collection_Database!O:O,"*TC*")</f>
        <v/>
      </c>
    </row>
    <row r="14">
      <c r="A14" t="inlineStr">
        <is>
          <t>Clones:</t>
        </is>
      </c>
      <c r="B14">
        <f>COUNTIF(Collection_Database!O:O,"*clone*")</f>
        <v/>
      </c>
    </row>
    <row r="15">
      <c r="A15" t="inlineStr"/>
      <c r="B15" t="inlineStr"/>
    </row>
    <row r="16">
      <c r="A16" t="inlineStr">
        <is>
          <t>Top 5 Most Valuable:</t>
        </is>
      </c>
      <c r="B16" t="inlineStr"/>
    </row>
    <row r="17">
      <c r="A17" t="inlineStr">
        <is>
          <t>1.</t>
        </is>
      </c>
      <c r="B17">
        <f>INDEX(Collection_Database!E:E,MATCH(LARGE(Collection_Database!N:N,1),Collection_Database!N:N,0))</f>
        <v/>
      </c>
    </row>
    <row r="18">
      <c r="A18" t="inlineStr">
        <is>
          <t>2.</t>
        </is>
      </c>
      <c r="B18">
        <f>INDEX(Collection_Database!E:E,MATCH(LARGE(Collection_Database!N:N,2),Collection_Database!N:N,0))</f>
        <v/>
      </c>
    </row>
    <row r="19">
      <c r="A19" t="inlineStr">
        <is>
          <t>3.</t>
        </is>
      </c>
      <c r="B19">
        <f>INDEX(Collection_Database!E:E,MATCH(LARGE(Collection_Database!N:N,3),Collection_Database!N:N,0))</f>
        <v/>
      </c>
    </row>
    <row r="20">
      <c r="A20" t="inlineStr">
        <is>
          <t>4.</t>
        </is>
      </c>
      <c r="B20">
        <f>INDEX(Collection_Database!E:E,MATCH(LARGE(Collection_Database!N:N,4),Collection_Database!N:N,0))</f>
        <v/>
      </c>
    </row>
    <row r="21">
      <c r="A21" t="inlineStr">
        <is>
          <t>5.</t>
        </is>
      </c>
      <c r="B21">
        <f>INDEX(Collection_Database!E:E,MATCH(LARGE(Collection_Database!N:N,5),Collection_Database!N:N,0))</f>
        <v/>
      </c>
    </row>
    <row r="22">
      <c r="A22" t="inlineStr"/>
      <c r="B22" t="inlineStr"/>
    </row>
    <row r="23">
      <c r="A23" t="inlineStr">
        <is>
          <t>Elite Genetics Summary:</t>
        </is>
      </c>
      <c r="B23" t="inlineStr"/>
    </row>
    <row r="24">
      <c r="A24" t="inlineStr">
        <is>
          <t>Variegated Plants:</t>
        </is>
      </c>
      <c r="B24">
        <f>COUNTIF(Collection_Database!E:E,"*variegat*")</f>
        <v/>
      </c>
    </row>
    <row r="25">
      <c r="A25" t="inlineStr">
        <is>
          <t>King of Spades genetics:</t>
        </is>
      </c>
      <c r="B25">
        <f>COUNTIF(Collection_Database!E:E,"*King of Spades*")</f>
        <v/>
      </c>
    </row>
    <row r="26">
      <c r="A26" t="inlineStr">
        <is>
          <t>Carlablackiae genetics:</t>
        </is>
      </c>
      <c r="B26">
        <f>COUNTIF(Collection_Database!E:E,"*carlablack*")</f>
        <v/>
      </c>
    </row>
    <row r="27">
      <c r="A27" t="inlineStr">
        <is>
          <t>Tezula genetics:</t>
        </is>
      </c>
      <c r="B27">
        <f>COUNTIF(Collection_Database!M:M,"Tezula")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2025-10-15T18:40:38Z</dcterms:created>
  <dcterms:modified xmlns:dcterms="http://purl.org/dc/terms/" xmlns:xsi="http://www.w3.org/2001/XMLSchema-instance" xsi:type="dcterms:W3CDTF">2025-10-15T18:51:06Z</dcterms:modified>
</cp:coreProperties>
</file>